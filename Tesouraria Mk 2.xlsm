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2db388d8264f7aa/3D GrouP/Estudos de Caso_BI/Relatório Financeiro/"/>
    </mc:Choice>
  </mc:AlternateContent>
  <xr:revisionPtr revIDLastSave="5096" documentId="8_{B8651B53-EFF5-44C3-B737-CD5694798A9B}" xr6:coauthVersionLast="47" xr6:coauthVersionMax="47" xr10:uidLastSave="{EB5FBB9D-874B-4AEE-B4F9-ACBB2CE9B2E0}"/>
  <bookViews>
    <workbookView xWindow="-120" yWindow="-120" windowWidth="29040" windowHeight="15990" xr2:uid="{9F5554ED-E32A-4AA2-9A5A-0D001FC896E8}"/>
  </bookViews>
  <sheets>
    <sheet name="Extrato" sheetId="5" r:id="rId1"/>
    <sheet name="Relatório_Mensalidade" sheetId="9" r:id="rId2"/>
    <sheet name="Projeções" sheetId="6" r:id="rId3"/>
    <sheet name="Entradas" sheetId="8" r:id="rId4"/>
  </sheets>
  <definedNames>
    <definedName name="DESPESAS">Entradas!$A$5:$A$11</definedName>
    <definedName name="MEMBROS">Projeções!$A$2:$A$28</definedName>
    <definedName name="RECEITAS">Entradas!$A$2:$A$4</definedName>
    <definedName name="TIPO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9" l="1"/>
  <c r="C7" i="9" l="1"/>
  <c r="C14" i="9"/>
  <c r="C13" i="9"/>
  <c r="C23" i="9"/>
  <c r="C27" i="9"/>
  <c r="C4" i="9"/>
  <c r="C17" i="9"/>
  <c r="C6" i="9"/>
  <c r="C24" i="9"/>
  <c r="C22" i="9"/>
  <c r="C20" i="9"/>
  <c r="C28" i="9"/>
  <c r="C26" i="9"/>
  <c r="C21" i="9"/>
  <c r="C25" i="9"/>
  <c r="C11" i="9"/>
  <c r="C12" i="9"/>
  <c r="C5" i="9"/>
  <c r="C29" i="9"/>
  <c r="C18" i="9"/>
  <c r="C8" i="9"/>
  <c r="C19" i="9"/>
  <c r="C16" i="9"/>
  <c r="C15" i="9"/>
  <c r="C9" i="9"/>
  <c r="C3" i="9"/>
  <c r="C10" i="9" l="1"/>
</calcChain>
</file>

<file path=xl/sharedStrings.xml><?xml version="1.0" encoding="utf-8"?>
<sst xmlns="http://schemas.openxmlformats.org/spreadsheetml/2006/main" count="1127" uniqueCount="65">
  <si>
    <t>MÊS</t>
  </si>
  <si>
    <t xml:space="preserve"> Valor </t>
  </si>
  <si>
    <t>Mensalidade</t>
  </si>
  <si>
    <t>RECEITA</t>
  </si>
  <si>
    <t>DESPESA</t>
  </si>
  <si>
    <t>Registro</t>
  </si>
  <si>
    <t xml:space="preserve"> Cálculo </t>
  </si>
  <si>
    <t>Aluguel</t>
  </si>
  <si>
    <t>Enel</t>
  </si>
  <si>
    <t>Sabesp</t>
  </si>
  <si>
    <t>Atendimento</t>
  </si>
  <si>
    <t>Nome</t>
  </si>
  <si>
    <t>-</t>
  </si>
  <si>
    <t>11 a 20</t>
  </si>
  <si>
    <t>Receita</t>
  </si>
  <si>
    <t>Despesa</t>
  </si>
  <si>
    <t>ok</t>
  </si>
  <si>
    <t>Dia</t>
  </si>
  <si>
    <t>Doação</t>
  </si>
  <si>
    <t>Período</t>
  </si>
  <si>
    <t>01 a 10</t>
  </si>
  <si>
    <t>Entrada</t>
  </si>
  <si>
    <t>Tipo</t>
  </si>
  <si>
    <t>Data</t>
  </si>
  <si>
    <t>NOME</t>
  </si>
  <si>
    <t>ENTRADA</t>
  </si>
  <si>
    <t>DESCRIÇÃO</t>
  </si>
  <si>
    <t>VALOR</t>
  </si>
  <si>
    <t>Insumos</t>
  </si>
  <si>
    <t>Daniel</t>
  </si>
  <si>
    <t>Compras</t>
  </si>
  <si>
    <t>Vela</t>
  </si>
  <si>
    <t>Referente ao mês</t>
  </si>
  <si>
    <t>Mês</t>
  </si>
  <si>
    <t>Contribuiu</t>
  </si>
  <si>
    <t>Outros</t>
  </si>
  <si>
    <t>IPTU</t>
  </si>
  <si>
    <t>Fachada</t>
  </si>
  <si>
    <t>Aluno 1</t>
  </si>
  <si>
    <t>Aluno 2</t>
  </si>
  <si>
    <t>Aluno 3</t>
  </si>
  <si>
    <t>Aluno 4</t>
  </si>
  <si>
    <t>Aluno 5</t>
  </si>
  <si>
    <t>Aluno 6</t>
  </si>
  <si>
    <t>Aluno 7</t>
  </si>
  <si>
    <t>Aluno 8</t>
  </si>
  <si>
    <t>Aluno 9</t>
  </si>
  <si>
    <t>Aluno 10</t>
  </si>
  <si>
    <t>Aluno 11</t>
  </si>
  <si>
    <t>Aluno 12</t>
  </si>
  <si>
    <t>Aluno 13</t>
  </si>
  <si>
    <t>Aluno 14</t>
  </si>
  <si>
    <t>Aluno 15</t>
  </si>
  <si>
    <t>Aluno 16</t>
  </si>
  <si>
    <t>Aluno 17</t>
  </si>
  <si>
    <t>Aluno 18</t>
  </si>
  <si>
    <t>Aluno 19</t>
  </si>
  <si>
    <t>Aluno 20</t>
  </si>
  <si>
    <t>Aluno 21</t>
  </si>
  <si>
    <t>Aluno 22</t>
  </si>
  <si>
    <t>Aluno 23</t>
  </si>
  <si>
    <t>Aluno 24</t>
  </si>
  <si>
    <t>Aluno 25</t>
  </si>
  <si>
    <t>Aluno 26</t>
  </si>
  <si>
    <t>Aluno 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</si>
</sst>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mmmm\,\ yyyy;@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" fillId="0" borderId="0"/>
  </cellStyleXfs>
  <cellXfs count="13">
    <xf numFmtId="0" fontId="0" fillId="0" borderId="0" xfId="0"/>
    <xf numFmtId="0" fontId="2" fillId="0" borderId="0" xfId="0" applyFont="1" applyFill="1"/>
    <xf numFmtId="44" fontId="2" fillId="0" borderId="0" xfId="1" applyFont="1" applyFill="1"/>
    <xf numFmtId="0" fontId="3" fillId="0" borderId="0" xfId="0" applyFont="1" applyFill="1"/>
    <xf numFmtId="44" fontId="3" fillId="0" borderId="0" xfId="1" applyFont="1" applyFill="1"/>
    <xf numFmtId="0" fontId="3" fillId="0" borderId="0" xfId="0" applyNumberFormat="1" applyFont="1" applyFill="1"/>
    <xf numFmtId="44" fontId="3" fillId="0" borderId="0" xfId="1" applyNumberFormat="1" applyFont="1" applyFill="1"/>
    <xf numFmtId="14" fontId="2" fillId="0" borderId="0" xfId="0" applyNumberFormat="1" applyFont="1" applyFill="1"/>
    <xf numFmtId="44" fontId="0" fillId="0" borderId="0" xfId="1" applyFont="1"/>
    <xf numFmtId="164" fontId="3" fillId="0" borderId="0" xfId="0" applyNumberFormat="1" applyFont="1" applyFill="1"/>
    <xf numFmtId="0" fontId="0" fillId="0" borderId="0" xfId="0" quotePrefix="1"/>
    <xf numFmtId="0" fontId="0" fillId="0" borderId="0" xfId="0" applyFill="1"/>
    <xf numFmtId="49" fontId="0" fillId="0" borderId="0" xfId="0" applyNumberFormat="1"/>
  </cellXfs>
  <cellStyles count="3">
    <cellStyle name="Moeda" xfId="1" builtinId="4"/>
    <cellStyle name="Normal" xfId="0" builtinId="0"/>
    <cellStyle name="Normal 3" xfId="2" xr:uid="{F746D055-5220-4B0C-92B1-D587B7EFB0CE}"/>
  </cellStyles>
  <dxfs count="2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mmmm\,\ yyyy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mmmm\,\ yyyy;@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19050</xdr:rowOff>
    </xdr:from>
    <xdr:to>
      <xdr:col>0</xdr:col>
      <xdr:colOff>285750</xdr:colOff>
      <xdr:row>2</xdr:row>
      <xdr:rowOff>19050</xdr:rowOff>
    </xdr:to>
    <xdr:sp macro="[0]!ExtratoAddReceita" textlink="">
      <xdr:nvSpPr>
        <xdr:cNvPr id="2" name="Sinal de Adição 1">
          <a:extLst>
            <a:ext uri="{FF2B5EF4-FFF2-40B4-BE49-F238E27FC236}">
              <a16:creationId xmlns:a16="http://schemas.microsoft.com/office/drawing/2014/main" id="{C29D873F-352E-46FE-82AC-C784D05F1DBF}"/>
            </a:ext>
          </a:extLst>
        </xdr:cNvPr>
        <xdr:cNvSpPr/>
      </xdr:nvSpPr>
      <xdr:spPr>
        <a:xfrm>
          <a:off x="0" y="19050"/>
          <a:ext cx="285750" cy="381000"/>
        </a:xfrm>
        <a:prstGeom prst="mathPlus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352424</xdr:colOff>
      <xdr:row>0</xdr:row>
      <xdr:rowOff>9525</xdr:rowOff>
    </xdr:from>
    <xdr:to>
      <xdr:col>1</xdr:col>
      <xdr:colOff>57149</xdr:colOff>
      <xdr:row>2</xdr:row>
      <xdr:rowOff>28575</xdr:rowOff>
    </xdr:to>
    <xdr:sp macro="[0]!ExtratoAddDespesa" textlink="">
      <xdr:nvSpPr>
        <xdr:cNvPr id="3" name="Sinal de Subtração 2">
          <a:extLst>
            <a:ext uri="{FF2B5EF4-FFF2-40B4-BE49-F238E27FC236}">
              <a16:creationId xmlns:a16="http://schemas.microsoft.com/office/drawing/2014/main" id="{1001243D-257C-4994-8C9A-2F78D421927D}"/>
            </a:ext>
          </a:extLst>
        </xdr:cNvPr>
        <xdr:cNvSpPr/>
      </xdr:nvSpPr>
      <xdr:spPr>
        <a:xfrm>
          <a:off x="352424" y="9525"/>
          <a:ext cx="314325" cy="400050"/>
        </a:xfrm>
        <a:prstGeom prst="mathMinus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114299</xdr:colOff>
      <xdr:row>0</xdr:row>
      <xdr:rowOff>76200</xdr:rowOff>
    </xdr:from>
    <xdr:to>
      <xdr:col>1</xdr:col>
      <xdr:colOff>428624</xdr:colOff>
      <xdr:row>2</xdr:row>
      <xdr:rowOff>9525</xdr:rowOff>
    </xdr:to>
    <xdr:sp macro="[0]!ExtratoReg" textlink="">
      <xdr:nvSpPr>
        <xdr:cNvPr id="5" name="Círculo: Vazio 4">
          <a:extLst>
            <a:ext uri="{FF2B5EF4-FFF2-40B4-BE49-F238E27FC236}">
              <a16:creationId xmlns:a16="http://schemas.microsoft.com/office/drawing/2014/main" id="{3F7E44CD-75DA-4E11-957F-2C5AC25DA8D2}"/>
            </a:ext>
          </a:extLst>
        </xdr:cNvPr>
        <xdr:cNvSpPr/>
      </xdr:nvSpPr>
      <xdr:spPr>
        <a:xfrm>
          <a:off x="723899" y="76200"/>
          <a:ext cx="314325" cy="314325"/>
        </a:xfrm>
        <a:prstGeom prst="don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A48B324-E65B-434A-B4DD-3EED0421468E}" name="Extrato" displayName="Extrato" ref="B5:L218" headerRowDxfId="24" dataDxfId="23">
  <autoFilter ref="B5:L218" xr:uid="{C28DC213-E1DE-4B2D-A0E8-D38D1E41AF0A}"/>
  <tableColumns count="11">
    <tableColumn id="1" xr3:uid="{1C5A26E0-90C4-4DB7-99FD-99225CDE8ADC}" name="Data" totalsRowLabel="Total" dataDxfId="22" totalsRowDxfId="21"/>
    <tableColumn id="2" xr3:uid="{7AA442F1-8181-430A-94EC-A01B9562B347}" name="MÊS" dataDxfId="20" totalsRowDxfId="19"/>
    <tableColumn id="9" xr3:uid="{EEDD33F3-D72F-427D-8E49-20E192E13735}" name="Dia" dataDxfId="18" totalsRowDxfId="17"/>
    <tableColumn id="11" xr3:uid="{5032C543-A63E-4D1F-AADA-5430AA7EE488}" name="Referente ao mês" dataDxfId="16" totalsRowDxfId="15"/>
    <tableColumn id="10" xr3:uid="{D4C48969-2715-4010-8594-FDD173F3309A}" name="Período" dataDxfId="14" totalsRowDxfId="13"/>
    <tableColumn id="3" xr3:uid="{01903B68-8F3A-4068-831B-33ADC0745078}" name="Entrada" dataDxfId="12" totalsRowDxfId="11"/>
    <tableColumn id="4" xr3:uid="{CE5F894C-BB5B-46ED-83A9-30771E3C3576}" name="Tipo" dataDxfId="10" totalsRowDxfId="9"/>
    <tableColumn id="8" xr3:uid="{EFA31C30-2273-47A6-830C-A43269440B9E}" name="Nome" dataDxfId="8" totalsRowDxfId="7"/>
    <tableColumn id="5" xr3:uid="{3CB5FB35-D2F8-4D44-A95E-8287B763C0F4}" name=" Valor " dataDxfId="6" totalsRowDxfId="5" dataCellStyle="Moeda"/>
    <tableColumn id="6" xr3:uid="{18CD1A78-5E74-4867-9265-FA73795A4665}" name=" Cálculo " totalsRowFunction="sum" dataDxfId="4" totalsRowDxfId="3" dataCellStyle="Moeda"/>
    <tableColumn id="7" xr3:uid="{4CFC57E9-72DE-41C5-8C00-17A48DD07594}" name="Registro" dataDxfId="2"/>
  </tableColumns>
  <tableStyleInfo name="TableStyleMedium2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40FF7-20DE-46EB-A0F6-72114EF2375B}">
  <sheetPr codeName="Planilha2"/>
  <dimension ref="B3:L218"/>
  <sheetViews>
    <sheetView tabSelected="1" workbookViewId="0">
      <selection activeCell="Q18" sqref="Q18"/>
    </sheetView>
  </sheetViews>
  <sheetFormatPr defaultRowHeight="15" x14ac:dyDescent="0.25"/>
  <cols>
    <col min="2" max="2" width="15.28515625" bestFit="1" customWidth="1"/>
    <col min="3" max="3" width="7.140625" hidden="1" customWidth="1"/>
    <col min="4" max="4" width="6.140625" bestFit="1" customWidth="1"/>
    <col min="5" max="5" width="19.140625" hidden="1" customWidth="1"/>
    <col min="6" max="6" width="13.42578125" hidden="1" customWidth="1"/>
    <col min="7" max="7" width="10" bestFit="1" customWidth="1"/>
    <col min="8" max="8" width="12.42578125" bestFit="1" customWidth="1"/>
    <col min="9" max="9" width="9.28515625" bestFit="1" customWidth="1"/>
    <col min="10" max="10" width="12.140625" bestFit="1" customWidth="1"/>
    <col min="11" max="11" width="12.140625" style="11" hidden="1" customWidth="1"/>
    <col min="12" max="12" width="10.5703125" bestFit="1" customWidth="1"/>
  </cols>
  <sheetData>
    <row r="3" spans="2:12" x14ac:dyDescent="0.25">
      <c r="G3" s="12"/>
    </row>
    <row r="5" spans="2:12" ht="15.75" customHeight="1" x14ac:dyDescent="0.25">
      <c r="B5" s="7" t="s">
        <v>23</v>
      </c>
      <c r="C5" s="1" t="s">
        <v>0</v>
      </c>
      <c r="D5" s="1" t="s">
        <v>17</v>
      </c>
      <c r="E5" s="7" t="s">
        <v>32</v>
      </c>
      <c r="F5" s="1" t="s">
        <v>19</v>
      </c>
      <c r="G5" s="1" t="s">
        <v>21</v>
      </c>
      <c r="H5" s="1" t="s">
        <v>22</v>
      </c>
      <c r="I5" s="1" t="s">
        <v>11</v>
      </c>
      <c r="J5" s="2" t="s">
        <v>1</v>
      </c>
      <c r="K5" s="1" t="s">
        <v>6</v>
      </c>
      <c r="L5" s="1" t="s">
        <v>5</v>
      </c>
    </row>
    <row r="6" spans="2:12" x14ac:dyDescent="0.25">
      <c r="B6" s="9"/>
      <c r="C6" s="5"/>
      <c r="D6" s="5"/>
      <c r="E6" s="9"/>
      <c r="F6" s="5"/>
      <c r="G6" s="3"/>
      <c r="H6" s="3"/>
      <c r="I6" s="3"/>
      <c r="J6" s="4"/>
      <c r="K6" s="6"/>
      <c r="L6" s="3"/>
    </row>
    <row r="7" spans="2:12" x14ac:dyDescent="0.25">
      <c r="B7" s="9">
        <v>44501</v>
      </c>
      <c r="C7" s="5">
        <v>11</v>
      </c>
      <c r="D7" s="5">
        <v>1</v>
      </c>
      <c r="E7" s="9">
        <v>44501</v>
      </c>
      <c r="F7" s="5" t="s">
        <v>20</v>
      </c>
      <c r="G7" s="3" t="s">
        <v>14</v>
      </c>
      <c r="H7" s="3" t="s">
        <v>18</v>
      </c>
      <c r="I7" s="3"/>
      <c r="J7" s="4">
        <v>198.54</v>
      </c>
      <c r="K7" s="6">
        <v>198.54</v>
      </c>
      <c r="L7" s="3" t="s">
        <v>16</v>
      </c>
    </row>
    <row r="8" spans="2:12" x14ac:dyDescent="0.25">
      <c r="B8" s="9">
        <v>44501</v>
      </c>
      <c r="C8" s="5">
        <v>11</v>
      </c>
      <c r="D8" s="5">
        <v>1</v>
      </c>
      <c r="E8" s="9">
        <v>44501</v>
      </c>
      <c r="F8" s="5" t="s">
        <v>20</v>
      </c>
      <c r="G8" s="3" t="s">
        <v>15</v>
      </c>
      <c r="H8" s="3" t="s">
        <v>30</v>
      </c>
      <c r="I8" s="3"/>
      <c r="J8" s="4">
        <v>23.4</v>
      </c>
      <c r="K8" s="6">
        <v>-23.4</v>
      </c>
      <c r="L8" s="3" t="s">
        <v>16</v>
      </c>
    </row>
    <row r="9" spans="2:12" x14ac:dyDescent="0.25">
      <c r="B9" s="9">
        <v>44501</v>
      </c>
      <c r="C9" s="5">
        <v>11</v>
      </c>
      <c r="D9" s="5">
        <v>1</v>
      </c>
      <c r="E9" s="9">
        <v>44501</v>
      </c>
      <c r="F9" s="5" t="s">
        <v>20</v>
      </c>
      <c r="G9" s="3" t="s">
        <v>14</v>
      </c>
      <c r="H9" s="3" t="s">
        <v>18</v>
      </c>
      <c r="I9" s="3" t="s">
        <v>46</v>
      </c>
      <c r="J9" s="4">
        <v>20</v>
      </c>
      <c r="K9" s="6">
        <v>20</v>
      </c>
      <c r="L9" s="3" t="s">
        <v>16</v>
      </c>
    </row>
    <row r="10" spans="2:12" x14ac:dyDescent="0.25">
      <c r="B10" s="9">
        <v>44501</v>
      </c>
      <c r="C10" s="5">
        <v>11</v>
      </c>
      <c r="D10" s="5">
        <v>1</v>
      </c>
      <c r="E10" s="9">
        <v>44501</v>
      </c>
      <c r="F10" s="5" t="s">
        <v>20</v>
      </c>
      <c r="G10" s="3" t="s">
        <v>15</v>
      </c>
      <c r="H10" s="3" t="s">
        <v>35</v>
      </c>
      <c r="I10" s="3"/>
      <c r="J10" s="4">
        <v>90</v>
      </c>
      <c r="K10" s="6">
        <v>-90</v>
      </c>
      <c r="L10" s="3" t="s">
        <v>16</v>
      </c>
    </row>
    <row r="11" spans="2:12" x14ac:dyDescent="0.25">
      <c r="B11" s="9">
        <v>44501</v>
      </c>
      <c r="C11" s="5">
        <v>11</v>
      </c>
      <c r="D11" s="5">
        <v>1</v>
      </c>
      <c r="E11" s="9">
        <v>44501</v>
      </c>
      <c r="F11" s="5" t="s">
        <v>20</v>
      </c>
      <c r="G11" s="3" t="s">
        <v>14</v>
      </c>
      <c r="H11" s="3" t="s">
        <v>18</v>
      </c>
      <c r="I11" s="3" t="s">
        <v>54</v>
      </c>
      <c r="J11" s="4">
        <v>20</v>
      </c>
      <c r="K11" s="6">
        <v>20</v>
      </c>
      <c r="L11" s="3" t="s">
        <v>16</v>
      </c>
    </row>
    <row r="12" spans="2:12" x14ac:dyDescent="0.25">
      <c r="B12" s="9">
        <v>44501</v>
      </c>
      <c r="C12" s="5">
        <v>11</v>
      </c>
      <c r="D12" s="5">
        <v>1</v>
      </c>
      <c r="E12" s="9">
        <v>44501</v>
      </c>
      <c r="F12" s="5" t="s">
        <v>20</v>
      </c>
      <c r="G12" s="3" t="s">
        <v>14</v>
      </c>
      <c r="H12" s="3" t="s">
        <v>2</v>
      </c>
      <c r="I12" s="3" t="s">
        <v>54</v>
      </c>
      <c r="J12" s="4">
        <v>100</v>
      </c>
      <c r="K12" s="6">
        <v>100</v>
      </c>
      <c r="L12" s="3" t="s">
        <v>16</v>
      </c>
    </row>
    <row r="13" spans="2:12" x14ac:dyDescent="0.25">
      <c r="B13" s="9">
        <v>44501</v>
      </c>
      <c r="C13" s="5">
        <v>11</v>
      </c>
      <c r="D13" s="5">
        <v>1</v>
      </c>
      <c r="E13" s="9">
        <v>44501</v>
      </c>
      <c r="F13" s="5" t="s">
        <v>20</v>
      </c>
      <c r="G13" s="3" t="s">
        <v>15</v>
      </c>
      <c r="H13" s="3" t="s">
        <v>30</v>
      </c>
      <c r="I13" s="3"/>
      <c r="J13" s="4">
        <v>43.8</v>
      </c>
      <c r="K13" s="6">
        <v>-43.8</v>
      </c>
      <c r="L13" s="3" t="s">
        <v>16</v>
      </c>
    </row>
    <row r="14" spans="2:12" x14ac:dyDescent="0.25">
      <c r="B14" s="9">
        <v>44501</v>
      </c>
      <c r="C14" s="5">
        <v>11</v>
      </c>
      <c r="D14" s="5">
        <v>1</v>
      </c>
      <c r="E14" s="9">
        <v>44501</v>
      </c>
      <c r="F14" s="5" t="s">
        <v>20</v>
      </c>
      <c r="G14" s="3" t="s">
        <v>15</v>
      </c>
      <c r="H14" s="3" t="s">
        <v>30</v>
      </c>
      <c r="I14" s="3"/>
      <c r="J14" s="4">
        <v>6</v>
      </c>
      <c r="K14" s="6">
        <v>-6</v>
      </c>
      <c r="L14" s="3" t="s">
        <v>16</v>
      </c>
    </row>
    <row r="15" spans="2:12" x14ac:dyDescent="0.25">
      <c r="B15" s="9">
        <v>44501</v>
      </c>
      <c r="C15" s="5">
        <v>11</v>
      </c>
      <c r="D15" s="5">
        <v>1</v>
      </c>
      <c r="E15" s="9">
        <v>44501</v>
      </c>
      <c r="F15" s="5" t="s">
        <v>20</v>
      </c>
      <c r="G15" s="3" t="s">
        <v>15</v>
      </c>
      <c r="H15" s="3" t="s">
        <v>30</v>
      </c>
      <c r="I15" s="3"/>
      <c r="J15" s="4">
        <v>23.5</v>
      </c>
      <c r="K15" s="6">
        <v>-23.5</v>
      </c>
      <c r="L15" s="3" t="s">
        <v>16</v>
      </c>
    </row>
    <row r="16" spans="2:12" x14ac:dyDescent="0.25">
      <c r="B16" s="9">
        <v>44501</v>
      </c>
      <c r="C16" s="5">
        <v>11</v>
      </c>
      <c r="D16" s="5">
        <v>1</v>
      </c>
      <c r="E16" s="9">
        <v>44501</v>
      </c>
      <c r="F16" s="5" t="s">
        <v>20</v>
      </c>
      <c r="G16" s="3" t="s">
        <v>15</v>
      </c>
      <c r="H16" s="3" t="s">
        <v>30</v>
      </c>
      <c r="I16" s="3"/>
      <c r="J16" s="4">
        <v>51.23</v>
      </c>
      <c r="K16" s="6">
        <v>-51.23</v>
      </c>
      <c r="L16" s="3" t="s">
        <v>16</v>
      </c>
    </row>
    <row r="17" spans="2:12" x14ac:dyDescent="0.25">
      <c r="B17" s="9">
        <v>44501</v>
      </c>
      <c r="C17" s="5">
        <v>11</v>
      </c>
      <c r="D17" s="5">
        <v>1</v>
      </c>
      <c r="E17" s="9">
        <v>44501</v>
      </c>
      <c r="F17" s="5" t="s">
        <v>20</v>
      </c>
      <c r="G17" s="3" t="s">
        <v>15</v>
      </c>
      <c r="H17" s="3" t="s">
        <v>30</v>
      </c>
      <c r="I17" s="3"/>
      <c r="J17" s="4">
        <v>48</v>
      </c>
      <c r="K17" s="6">
        <v>-48</v>
      </c>
      <c r="L17" s="3" t="s">
        <v>16</v>
      </c>
    </row>
    <row r="18" spans="2:12" x14ac:dyDescent="0.25">
      <c r="B18" s="9">
        <v>44487</v>
      </c>
      <c r="C18" s="5">
        <v>10</v>
      </c>
      <c r="D18" s="5">
        <v>18</v>
      </c>
      <c r="E18" s="9">
        <v>44487</v>
      </c>
      <c r="F18" s="5" t="s">
        <v>13</v>
      </c>
      <c r="G18" s="3" t="s">
        <v>14</v>
      </c>
      <c r="H18" s="3" t="s">
        <v>18</v>
      </c>
      <c r="I18" s="3" t="s">
        <v>57</v>
      </c>
      <c r="J18" s="4">
        <v>20</v>
      </c>
      <c r="K18" s="6">
        <v>20</v>
      </c>
      <c r="L18" s="3" t="s">
        <v>16</v>
      </c>
    </row>
    <row r="19" spans="2:12" x14ac:dyDescent="0.25">
      <c r="B19" s="9">
        <v>44487</v>
      </c>
      <c r="C19" s="5">
        <v>10</v>
      </c>
      <c r="D19" s="5">
        <v>18</v>
      </c>
      <c r="E19" s="9">
        <v>44487</v>
      </c>
      <c r="F19" s="5" t="s">
        <v>13</v>
      </c>
      <c r="G19" s="3" t="s">
        <v>14</v>
      </c>
      <c r="H19" s="3" t="s">
        <v>2</v>
      </c>
      <c r="I19" s="3" t="s">
        <v>57</v>
      </c>
      <c r="J19" s="4">
        <v>100</v>
      </c>
      <c r="K19" s="6">
        <v>100</v>
      </c>
      <c r="L19" s="3" t="s">
        <v>16</v>
      </c>
    </row>
    <row r="20" spans="2:12" x14ac:dyDescent="0.25">
      <c r="B20" s="9">
        <v>44484</v>
      </c>
      <c r="C20" s="5">
        <v>10</v>
      </c>
      <c r="D20" s="5">
        <v>14</v>
      </c>
      <c r="E20" s="9">
        <v>44484</v>
      </c>
      <c r="F20" s="5" t="s">
        <v>13</v>
      </c>
      <c r="G20" s="3" t="s">
        <v>14</v>
      </c>
      <c r="H20" s="3" t="s">
        <v>2</v>
      </c>
      <c r="I20" s="3" t="s">
        <v>63</v>
      </c>
      <c r="J20" s="4">
        <v>50</v>
      </c>
      <c r="K20" s="6">
        <v>50</v>
      </c>
      <c r="L20" s="3" t="s">
        <v>16</v>
      </c>
    </row>
    <row r="21" spans="2:12" x14ac:dyDescent="0.25">
      <c r="B21" s="9">
        <v>44484</v>
      </c>
      <c r="C21" s="5">
        <v>10</v>
      </c>
      <c r="D21" s="5">
        <v>15</v>
      </c>
      <c r="E21" s="9">
        <v>44484</v>
      </c>
      <c r="F21" s="5" t="s">
        <v>13</v>
      </c>
      <c r="G21" s="3" t="s">
        <v>14</v>
      </c>
      <c r="H21" s="3" t="s">
        <v>2</v>
      </c>
      <c r="I21" s="3" t="s">
        <v>58</v>
      </c>
      <c r="J21" s="4">
        <v>100</v>
      </c>
      <c r="K21" s="6">
        <v>100</v>
      </c>
      <c r="L21" s="3" t="s">
        <v>16</v>
      </c>
    </row>
    <row r="22" spans="2:12" x14ac:dyDescent="0.25">
      <c r="B22" s="9">
        <v>44484</v>
      </c>
      <c r="C22" s="5">
        <v>10</v>
      </c>
      <c r="D22" s="5">
        <v>15</v>
      </c>
      <c r="E22" s="9">
        <v>44484</v>
      </c>
      <c r="F22" s="5" t="s">
        <v>13</v>
      </c>
      <c r="G22" s="3" t="s">
        <v>14</v>
      </c>
      <c r="H22" s="3" t="s">
        <v>2</v>
      </c>
      <c r="I22" s="3" t="s">
        <v>55</v>
      </c>
      <c r="J22" s="4">
        <v>100</v>
      </c>
      <c r="K22" s="6">
        <v>100</v>
      </c>
      <c r="L22" s="3" t="s">
        <v>16</v>
      </c>
    </row>
    <row r="23" spans="2:12" x14ac:dyDescent="0.25">
      <c r="B23" s="9">
        <v>44484</v>
      </c>
      <c r="C23" s="5">
        <v>10</v>
      </c>
      <c r="D23" s="5">
        <v>15</v>
      </c>
      <c r="E23" s="9">
        <v>44484</v>
      </c>
      <c r="F23" s="5" t="s">
        <v>13</v>
      </c>
      <c r="G23" s="3" t="s">
        <v>15</v>
      </c>
      <c r="H23" s="3" t="s">
        <v>9</v>
      </c>
      <c r="I23" s="3"/>
      <c r="J23" s="4">
        <v>117.06</v>
      </c>
      <c r="K23" s="6">
        <v>-117.06</v>
      </c>
      <c r="L23" s="3" t="s">
        <v>16</v>
      </c>
    </row>
    <row r="24" spans="2:12" x14ac:dyDescent="0.25">
      <c r="B24" s="9">
        <v>44484</v>
      </c>
      <c r="C24" s="5">
        <v>10</v>
      </c>
      <c r="D24" s="5">
        <v>15</v>
      </c>
      <c r="E24" s="9">
        <v>44484</v>
      </c>
      <c r="F24" s="5" t="s">
        <v>13</v>
      </c>
      <c r="G24" s="3" t="s">
        <v>15</v>
      </c>
      <c r="H24" s="3" t="s">
        <v>8</v>
      </c>
      <c r="I24" s="3"/>
      <c r="J24" s="4">
        <v>59.89</v>
      </c>
      <c r="K24" s="6">
        <v>-59.89</v>
      </c>
      <c r="L24" s="3" t="s">
        <v>16</v>
      </c>
    </row>
    <row r="25" spans="2:12" x14ac:dyDescent="0.25">
      <c r="B25" s="9">
        <v>44483</v>
      </c>
      <c r="C25" s="5">
        <v>10</v>
      </c>
      <c r="D25" s="5">
        <v>14</v>
      </c>
      <c r="E25" s="9">
        <v>44483</v>
      </c>
      <c r="F25" s="5" t="s">
        <v>13</v>
      </c>
      <c r="G25" s="3" t="s">
        <v>14</v>
      </c>
      <c r="H25" s="3" t="s">
        <v>2</v>
      </c>
      <c r="I25" s="3" t="s">
        <v>45</v>
      </c>
      <c r="J25" s="4">
        <v>70</v>
      </c>
      <c r="K25" s="6">
        <v>70</v>
      </c>
      <c r="L25" s="3" t="s">
        <v>16</v>
      </c>
    </row>
    <row r="26" spans="2:12" x14ac:dyDescent="0.25">
      <c r="B26" s="9">
        <v>44483</v>
      </c>
      <c r="C26" s="5">
        <v>10</v>
      </c>
      <c r="D26" s="5">
        <v>14</v>
      </c>
      <c r="E26" s="9">
        <v>44483</v>
      </c>
      <c r="F26" s="5" t="s">
        <v>13</v>
      </c>
      <c r="G26" s="3" t="s">
        <v>14</v>
      </c>
      <c r="H26" s="3" t="s">
        <v>2</v>
      </c>
      <c r="I26" s="3" t="s">
        <v>62</v>
      </c>
      <c r="J26" s="4">
        <v>50</v>
      </c>
      <c r="K26" s="6">
        <v>50</v>
      </c>
      <c r="L26" s="3" t="s">
        <v>16</v>
      </c>
    </row>
    <row r="27" spans="2:12" x14ac:dyDescent="0.25">
      <c r="B27" s="9">
        <v>44483</v>
      </c>
      <c r="C27" s="5">
        <v>10</v>
      </c>
      <c r="D27" s="5">
        <v>14</v>
      </c>
      <c r="E27" s="9">
        <v>44483</v>
      </c>
      <c r="F27" s="5" t="s">
        <v>13</v>
      </c>
      <c r="G27" s="3" t="s">
        <v>14</v>
      </c>
      <c r="H27" s="3" t="s">
        <v>18</v>
      </c>
      <c r="I27" s="3" t="s">
        <v>62</v>
      </c>
      <c r="J27" s="4">
        <v>20</v>
      </c>
      <c r="K27" s="6">
        <v>20</v>
      </c>
      <c r="L27" s="3" t="s">
        <v>16</v>
      </c>
    </row>
    <row r="28" spans="2:12" x14ac:dyDescent="0.25">
      <c r="B28" s="9">
        <v>44483</v>
      </c>
      <c r="C28" s="5">
        <v>10</v>
      </c>
      <c r="D28" s="5">
        <v>14</v>
      </c>
      <c r="E28" s="9">
        <v>44483</v>
      </c>
      <c r="F28" s="5" t="s">
        <v>13</v>
      </c>
      <c r="G28" s="3" t="s">
        <v>15</v>
      </c>
      <c r="H28" s="3" t="s">
        <v>7</v>
      </c>
      <c r="I28" s="3"/>
      <c r="J28" s="4">
        <v>1192.8699999999999</v>
      </c>
      <c r="K28" s="6">
        <v>-1192.8699999999999</v>
      </c>
      <c r="L28" s="3" t="s">
        <v>16</v>
      </c>
    </row>
    <row r="29" spans="2:12" x14ac:dyDescent="0.25">
      <c r="B29" s="9">
        <v>44483</v>
      </c>
      <c r="C29" s="5">
        <v>10</v>
      </c>
      <c r="D29" s="5">
        <v>14</v>
      </c>
      <c r="E29" s="9">
        <v>44483</v>
      </c>
      <c r="F29" s="5" t="s">
        <v>13</v>
      </c>
      <c r="G29" s="3" t="s">
        <v>15</v>
      </c>
      <c r="H29" s="3" t="s">
        <v>30</v>
      </c>
      <c r="I29" s="3" t="s">
        <v>62</v>
      </c>
      <c r="J29" s="4">
        <v>20</v>
      </c>
      <c r="K29" s="6">
        <v>-20</v>
      </c>
      <c r="L29" s="3" t="s">
        <v>16</v>
      </c>
    </row>
    <row r="30" spans="2:12" x14ac:dyDescent="0.25">
      <c r="B30" s="9">
        <v>44482</v>
      </c>
      <c r="C30" s="5">
        <v>10</v>
      </c>
      <c r="D30" s="5">
        <v>13</v>
      </c>
      <c r="E30" s="9">
        <v>44482</v>
      </c>
      <c r="F30" s="5" t="s">
        <v>13</v>
      </c>
      <c r="G30" s="3" t="s">
        <v>14</v>
      </c>
      <c r="H30" s="3" t="s">
        <v>2</v>
      </c>
      <c r="I30" s="3" t="s">
        <v>47</v>
      </c>
      <c r="J30" s="4">
        <v>100</v>
      </c>
      <c r="K30" s="6">
        <v>100</v>
      </c>
      <c r="L30" s="3" t="s">
        <v>16</v>
      </c>
    </row>
    <row r="31" spans="2:12" x14ac:dyDescent="0.25">
      <c r="B31" s="9">
        <v>44482</v>
      </c>
      <c r="C31" s="5">
        <v>10</v>
      </c>
      <c r="D31" s="5">
        <v>13</v>
      </c>
      <c r="E31" s="9">
        <v>44482</v>
      </c>
      <c r="F31" s="5" t="s">
        <v>13</v>
      </c>
      <c r="G31" s="3" t="s">
        <v>14</v>
      </c>
      <c r="H31" s="3" t="s">
        <v>2</v>
      </c>
      <c r="I31" s="3" t="s">
        <v>43</v>
      </c>
      <c r="J31" s="4">
        <v>50</v>
      </c>
      <c r="K31" s="6">
        <v>50</v>
      </c>
      <c r="L31" s="3" t="s">
        <v>16</v>
      </c>
    </row>
    <row r="32" spans="2:12" x14ac:dyDescent="0.25">
      <c r="B32" s="9">
        <v>44482</v>
      </c>
      <c r="C32" s="5">
        <v>10</v>
      </c>
      <c r="D32" s="5">
        <v>13</v>
      </c>
      <c r="E32" s="9">
        <v>44482</v>
      </c>
      <c r="F32" s="5" t="s">
        <v>13</v>
      </c>
      <c r="G32" s="3" t="s">
        <v>14</v>
      </c>
      <c r="H32" s="3" t="s">
        <v>18</v>
      </c>
      <c r="I32" s="3"/>
      <c r="J32" s="4">
        <v>232.62</v>
      </c>
      <c r="K32" s="6">
        <v>232.62</v>
      </c>
      <c r="L32" s="3" t="s">
        <v>16</v>
      </c>
    </row>
    <row r="33" spans="2:12" x14ac:dyDescent="0.25">
      <c r="B33" s="9">
        <v>44482</v>
      </c>
      <c r="C33" s="5">
        <v>10</v>
      </c>
      <c r="D33" s="5">
        <v>13</v>
      </c>
      <c r="E33" s="9">
        <v>44482</v>
      </c>
      <c r="F33" s="5" t="s">
        <v>13</v>
      </c>
      <c r="G33" s="3" t="s">
        <v>15</v>
      </c>
      <c r="H33" s="3" t="s">
        <v>30</v>
      </c>
      <c r="I33" s="3"/>
      <c r="J33" s="4">
        <v>50.76</v>
      </c>
      <c r="K33" s="6">
        <v>-50.76</v>
      </c>
      <c r="L33" s="3" t="s">
        <v>16</v>
      </c>
    </row>
    <row r="34" spans="2:12" x14ac:dyDescent="0.25">
      <c r="B34" s="9">
        <v>44482</v>
      </c>
      <c r="C34" s="5">
        <v>10</v>
      </c>
      <c r="D34" s="5">
        <v>13</v>
      </c>
      <c r="E34" s="9">
        <v>44482</v>
      </c>
      <c r="F34" s="5" t="s">
        <v>13</v>
      </c>
      <c r="G34" s="3" t="s">
        <v>15</v>
      </c>
      <c r="H34" s="3" t="s">
        <v>30</v>
      </c>
      <c r="I34" s="3"/>
      <c r="J34" s="4">
        <v>16</v>
      </c>
      <c r="K34" s="6">
        <v>-16</v>
      </c>
      <c r="L34" s="3" t="s">
        <v>16</v>
      </c>
    </row>
    <row r="35" spans="2:12" x14ac:dyDescent="0.25">
      <c r="B35" s="9">
        <v>44482</v>
      </c>
      <c r="C35" s="5">
        <v>10</v>
      </c>
      <c r="D35" s="5">
        <v>13</v>
      </c>
      <c r="E35" s="9">
        <v>44482</v>
      </c>
      <c r="F35" s="5" t="s">
        <v>13</v>
      </c>
      <c r="G35" s="3" t="s">
        <v>15</v>
      </c>
      <c r="H35" s="3" t="s">
        <v>30</v>
      </c>
      <c r="I35" s="3"/>
      <c r="J35" s="4">
        <v>35.700000000000003</v>
      </c>
      <c r="K35" s="6">
        <v>-35.700000000000003</v>
      </c>
      <c r="L35" s="3" t="s">
        <v>16</v>
      </c>
    </row>
    <row r="36" spans="2:12" x14ac:dyDescent="0.25">
      <c r="B36" s="9">
        <v>44482</v>
      </c>
      <c r="C36" s="5">
        <v>10</v>
      </c>
      <c r="D36" s="5">
        <v>13</v>
      </c>
      <c r="E36" s="9">
        <v>44482</v>
      </c>
      <c r="F36" s="5" t="s">
        <v>13</v>
      </c>
      <c r="G36" s="3" t="s">
        <v>15</v>
      </c>
      <c r="H36" s="3" t="s">
        <v>30</v>
      </c>
      <c r="I36" s="3"/>
      <c r="J36" s="4">
        <v>59</v>
      </c>
      <c r="K36" s="6">
        <v>-59</v>
      </c>
      <c r="L36" s="3" t="s">
        <v>16</v>
      </c>
    </row>
    <row r="37" spans="2:12" x14ac:dyDescent="0.25">
      <c r="B37" s="9">
        <v>44482</v>
      </c>
      <c r="C37" s="5">
        <v>10</v>
      </c>
      <c r="D37" s="5">
        <v>13</v>
      </c>
      <c r="E37" s="9">
        <v>44482</v>
      </c>
      <c r="F37" s="5" t="s">
        <v>13</v>
      </c>
      <c r="G37" s="3" t="s">
        <v>14</v>
      </c>
      <c r="H37" s="3" t="s">
        <v>2</v>
      </c>
      <c r="I37" s="3" t="s">
        <v>49</v>
      </c>
      <c r="J37" s="4">
        <v>100</v>
      </c>
      <c r="K37" s="6">
        <v>100</v>
      </c>
      <c r="L37" s="3" t="s">
        <v>16</v>
      </c>
    </row>
    <row r="38" spans="2:12" x14ac:dyDescent="0.25">
      <c r="B38" s="9">
        <v>44482</v>
      </c>
      <c r="C38" s="5">
        <v>10</v>
      </c>
      <c r="D38" s="5">
        <v>13</v>
      </c>
      <c r="E38" s="9">
        <v>44482</v>
      </c>
      <c r="F38" s="5" t="s">
        <v>13</v>
      </c>
      <c r="G38" s="3" t="s">
        <v>14</v>
      </c>
      <c r="H38" s="3" t="s">
        <v>2</v>
      </c>
      <c r="I38" s="3" t="s">
        <v>48</v>
      </c>
      <c r="J38" s="4">
        <v>75</v>
      </c>
      <c r="K38" s="6">
        <v>75</v>
      </c>
      <c r="L38" s="3" t="s">
        <v>16</v>
      </c>
    </row>
    <row r="39" spans="2:12" x14ac:dyDescent="0.25">
      <c r="B39" s="9">
        <v>44482</v>
      </c>
      <c r="C39" s="5">
        <v>10</v>
      </c>
      <c r="D39" s="5">
        <v>13</v>
      </c>
      <c r="E39" s="9">
        <v>44482</v>
      </c>
      <c r="F39" s="5" t="s">
        <v>13</v>
      </c>
      <c r="G39" s="3" t="s">
        <v>14</v>
      </c>
      <c r="H39" s="3" t="s">
        <v>2</v>
      </c>
      <c r="I39" s="3" t="s">
        <v>50</v>
      </c>
      <c r="J39" s="4">
        <v>100</v>
      </c>
      <c r="K39" s="6">
        <v>100</v>
      </c>
      <c r="L39" s="3" t="s">
        <v>16</v>
      </c>
    </row>
    <row r="40" spans="2:12" x14ac:dyDescent="0.25">
      <c r="B40" s="9">
        <v>44482</v>
      </c>
      <c r="C40" s="5">
        <v>10</v>
      </c>
      <c r="D40" s="5">
        <v>13</v>
      </c>
      <c r="E40" s="9">
        <v>44482</v>
      </c>
      <c r="F40" s="5" t="s">
        <v>13</v>
      </c>
      <c r="G40" s="3" t="s">
        <v>15</v>
      </c>
      <c r="H40" s="3" t="s">
        <v>30</v>
      </c>
      <c r="I40" s="3"/>
      <c r="J40" s="4">
        <v>99.8</v>
      </c>
      <c r="K40" s="6">
        <v>-99.8</v>
      </c>
      <c r="L40" s="3" t="s">
        <v>16</v>
      </c>
    </row>
    <row r="41" spans="2:12" x14ac:dyDescent="0.25">
      <c r="B41" s="9">
        <v>44482</v>
      </c>
      <c r="C41" s="5">
        <v>10</v>
      </c>
      <c r="D41" s="5">
        <v>13</v>
      </c>
      <c r="E41" s="9">
        <v>44482</v>
      </c>
      <c r="F41" s="5" t="s">
        <v>13</v>
      </c>
      <c r="G41" s="3" t="s">
        <v>14</v>
      </c>
      <c r="H41" s="3" t="s">
        <v>2</v>
      </c>
      <c r="I41" s="3" t="s">
        <v>52</v>
      </c>
      <c r="J41" s="4">
        <v>100</v>
      </c>
      <c r="K41" s="6">
        <v>100</v>
      </c>
      <c r="L41" s="3" t="s">
        <v>16</v>
      </c>
    </row>
    <row r="42" spans="2:12" x14ac:dyDescent="0.25">
      <c r="B42" s="9">
        <v>44482</v>
      </c>
      <c r="C42" s="5">
        <v>10</v>
      </c>
      <c r="D42" s="5">
        <v>13</v>
      </c>
      <c r="E42" s="9">
        <v>44482</v>
      </c>
      <c r="F42" s="5" t="s">
        <v>13</v>
      </c>
      <c r="G42" s="3" t="s">
        <v>14</v>
      </c>
      <c r="H42" s="3" t="s">
        <v>18</v>
      </c>
      <c r="I42" s="3"/>
      <c r="J42" s="4">
        <v>12</v>
      </c>
      <c r="K42" s="6">
        <v>12</v>
      </c>
      <c r="L42" s="3" t="s">
        <v>16</v>
      </c>
    </row>
    <row r="43" spans="2:12" x14ac:dyDescent="0.25">
      <c r="B43" s="9">
        <v>44482</v>
      </c>
      <c r="C43" s="5">
        <v>10</v>
      </c>
      <c r="D43" s="5">
        <v>13</v>
      </c>
      <c r="E43" s="9">
        <v>44482</v>
      </c>
      <c r="F43" s="5" t="s">
        <v>13</v>
      </c>
      <c r="G43" s="3" t="s">
        <v>14</v>
      </c>
      <c r="H43" s="3" t="s">
        <v>18</v>
      </c>
      <c r="I43" s="3" t="s">
        <v>54</v>
      </c>
      <c r="J43" s="4">
        <v>20</v>
      </c>
      <c r="K43" s="6">
        <v>20</v>
      </c>
      <c r="L43" s="3" t="s">
        <v>16</v>
      </c>
    </row>
    <row r="44" spans="2:12" x14ac:dyDescent="0.25">
      <c r="B44" s="9">
        <v>44482</v>
      </c>
      <c r="C44" s="5">
        <v>10</v>
      </c>
      <c r="D44" s="5">
        <v>13</v>
      </c>
      <c r="E44" s="9">
        <v>44482</v>
      </c>
      <c r="F44" s="5" t="s">
        <v>13</v>
      </c>
      <c r="G44" s="3" t="s">
        <v>14</v>
      </c>
      <c r="H44" s="3" t="s">
        <v>2</v>
      </c>
      <c r="I44" s="3" t="s">
        <v>54</v>
      </c>
      <c r="J44" s="4">
        <v>100</v>
      </c>
      <c r="K44" s="6">
        <v>100</v>
      </c>
      <c r="L44" s="3" t="s">
        <v>16</v>
      </c>
    </row>
    <row r="45" spans="2:12" x14ac:dyDescent="0.25">
      <c r="B45" s="9">
        <v>44482</v>
      </c>
      <c r="C45" s="5">
        <v>10</v>
      </c>
      <c r="D45" s="5">
        <v>13</v>
      </c>
      <c r="E45" s="9">
        <v>44482</v>
      </c>
      <c r="F45" s="5" t="s">
        <v>13</v>
      </c>
      <c r="G45" s="3" t="s">
        <v>14</v>
      </c>
      <c r="H45" s="3" t="s">
        <v>18</v>
      </c>
      <c r="I45" s="3"/>
      <c r="J45" s="4">
        <v>50</v>
      </c>
      <c r="K45" s="6">
        <v>50</v>
      </c>
      <c r="L45" s="3" t="s">
        <v>16</v>
      </c>
    </row>
    <row r="46" spans="2:12" x14ac:dyDescent="0.25">
      <c r="B46" s="9">
        <v>44482</v>
      </c>
      <c r="C46" s="5">
        <v>10</v>
      </c>
      <c r="D46" s="5">
        <v>13</v>
      </c>
      <c r="E46" s="9">
        <v>44482</v>
      </c>
      <c r="F46" s="5" t="s">
        <v>13</v>
      </c>
      <c r="G46" s="3" t="s">
        <v>14</v>
      </c>
      <c r="H46" s="3" t="s">
        <v>18</v>
      </c>
      <c r="I46" s="3" t="s">
        <v>60</v>
      </c>
      <c r="J46" s="4">
        <v>30</v>
      </c>
      <c r="K46" s="6">
        <v>30</v>
      </c>
      <c r="L46" s="3" t="s">
        <v>16</v>
      </c>
    </row>
    <row r="47" spans="2:12" x14ac:dyDescent="0.25">
      <c r="B47" s="9">
        <v>44482</v>
      </c>
      <c r="C47" s="5">
        <v>10</v>
      </c>
      <c r="D47" s="5">
        <v>13</v>
      </c>
      <c r="E47" s="9">
        <v>44482</v>
      </c>
      <c r="F47" s="5" t="s">
        <v>13</v>
      </c>
      <c r="G47" s="3" t="s">
        <v>14</v>
      </c>
      <c r="H47" s="3" t="s">
        <v>2</v>
      </c>
      <c r="I47" s="3" t="s">
        <v>58</v>
      </c>
      <c r="J47" s="4">
        <v>100</v>
      </c>
      <c r="K47" s="6">
        <v>100</v>
      </c>
      <c r="L47" s="3" t="s">
        <v>16</v>
      </c>
    </row>
    <row r="48" spans="2:12" x14ac:dyDescent="0.25">
      <c r="B48" s="9">
        <v>44482</v>
      </c>
      <c r="C48" s="5">
        <v>10</v>
      </c>
      <c r="D48" s="5">
        <v>13</v>
      </c>
      <c r="E48" s="9">
        <v>44482</v>
      </c>
      <c r="F48" s="5" t="s">
        <v>13</v>
      </c>
      <c r="G48" s="3" t="s">
        <v>14</v>
      </c>
      <c r="H48" s="3" t="s">
        <v>2</v>
      </c>
      <c r="I48" s="3" t="s">
        <v>55</v>
      </c>
      <c r="J48" s="4">
        <v>100</v>
      </c>
      <c r="K48" s="6">
        <v>100</v>
      </c>
      <c r="L48" s="3" t="s">
        <v>16</v>
      </c>
    </row>
    <row r="49" spans="2:12" x14ac:dyDescent="0.25">
      <c r="B49" s="9">
        <v>44482</v>
      </c>
      <c r="C49" s="5">
        <v>10</v>
      </c>
      <c r="D49" s="5">
        <v>13</v>
      </c>
      <c r="E49" s="9">
        <v>44482</v>
      </c>
      <c r="F49" s="5" t="s">
        <v>13</v>
      </c>
      <c r="G49" s="3" t="s">
        <v>14</v>
      </c>
      <c r="H49" s="3" t="s">
        <v>2</v>
      </c>
      <c r="I49" s="3" t="s">
        <v>47</v>
      </c>
      <c r="J49" s="4">
        <v>100</v>
      </c>
      <c r="K49" s="6">
        <v>100</v>
      </c>
      <c r="L49" s="3" t="s">
        <v>16</v>
      </c>
    </row>
    <row r="50" spans="2:12" x14ac:dyDescent="0.25">
      <c r="B50" s="9">
        <v>44482</v>
      </c>
      <c r="C50" s="5">
        <v>10</v>
      </c>
      <c r="D50" s="5">
        <v>13</v>
      </c>
      <c r="E50" s="9">
        <v>44482</v>
      </c>
      <c r="F50" s="5" t="s">
        <v>13</v>
      </c>
      <c r="G50" s="3" t="s">
        <v>14</v>
      </c>
      <c r="H50" s="3" t="s">
        <v>2</v>
      </c>
      <c r="I50" s="3" t="s">
        <v>46</v>
      </c>
      <c r="J50" s="4">
        <v>50</v>
      </c>
      <c r="K50" s="6">
        <v>50</v>
      </c>
      <c r="L50" s="3" t="s">
        <v>16</v>
      </c>
    </row>
    <row r="51" spans="2:12" x14ac:dyDescent="0.25">
      <c r="B51" s="9">
        <v>44482</v>
      </c>
      <c r="C51" s="5">
        <v>10</v>
      </c>
      <c r="D51" s="5">
        <v>13</v>
      </c>
      <c r="E51" s="9">
        <v>44482</v>
      </c>
      <c r="F51" s="5" t="s">
        <v>13</v>
      </c>
      <c r="G51" s="3" t="s">
        <v>14</v>
      </c>
      <c r="H51" s="3" t="s">
        <v>18</v>
      </c>
      <c r="I51" s="3" t="s">
        <v>61</v>
      </c>
      <c r="J51" s="4">
        <v>20</v>
      </c>
      <c r="K51" s="6">
        <v>20</v>
      </c>
      <c r="L51" s="3" t="s">
        <v>16</v>
      </c>
    </row>
    <row r="52" spans="2:12" x14ac:dyDescent="0.25">
      <c r="B52" s="9">
        <v>44455</v>
      </c>
      <c r="C52" s="5">
        <v>9</v>
      </c>
      <c r="D52" s="5">
        <v>16</v>
      </c>
      <c r="E52" s="9">
        <v>44455</v>
      </c>
      <c r="F52" s="5" t="s">
        <v>13</v>
      </c>
      <c r="G52" s="3" t="s">
        <v>15</v>
      </c>
      <c r="H52" s="3" t="s">
        <v>9</v>
      </c>
      <c r="I52" s="3"/>
      <c r="J52" s="4">
        <v>117.06</v>
      </c>
      <c r="K52" s="6">
        <v>-117.06</v>
      </c>
      <c r="L52" s="3" t="s">
        <v>16</v>
      </c>
    </row>
    <row r="53" spans="2:12" x14ac:dyDescent="0.25">
      <c r="B53" s="9">
        <v>44455</v>
      </c>
      <c r="C53" s="5">
        <v>9</v>
      </c>
      <c r="D53" s="5">
        <v>16</v>
      </c>
      <c r="E53" s="9">
        <v>44455</v>
      </c>
      <c r="F53" s="5" t="s">
        <v>13</v>
      </c>
      <c r="G53" s="3" t="s">
        <v>15</v>
      </c>
      <c r="H53" s="3" t="s">
        <v>8</v>
      </c>
      <c r="I53" s="3"/>
      <c r="J53" s="4">
        <v>76.69</v>
      </c>
      <c r="K53" s="6">
        <v>-76.69</v>
      </c>
      <c r="L53" s="3" t="s">
        <v>16</v>
      </c>
    </row>
    <row r="54" spans="2:12" x14ac:dyDescent="0.25">
      <c r="B54" s="9">
        <v>44455</v>
      </c>
      <c r="C54" s="5">
        <v>9</v>
      </c>
      <c r="D54" s="5">
        <v>16</v>
      </c>
      <c r="E54" s="9">
        <v>44455</v>
      </c>
      <c r="F54" s="5" t="s">
        <v>13</v>
      </c>
      <c r="G54" s="3" t="s">
        <v>14</v>
      </c>
      <c r="H54" s="3" t="s">
        <v>2</v>
      </c>
      <c r="I54" s="3" t="s">
        <v>38</v>
      </c>
      <c r="J54" s="4">
        <v>50</v>
      </c>
      <c r="K54" s="6">
        <v>50</v>
      </c>
      <c r="L54" s="3" t="s">
        <v>16</v>
      </c>
    </row>
    <row r="55" spans="2:12" x14ac:dyDescent="0.25">
      <c r="B55" s="9">
        <v>44455</v>
      </c>
      <c r="C55" s="5">
        <v>9</v>
      </c>
      <c r="D55" s="5">
        <v>16</v>
      </c>
      <c r="E55" s="9">
        <v>44455</v>
      </c>
      <c r="F55" s="5" t="s">
        <v>13</v>
      </c>
      <c r="G55" s="3" t="s">
        <v>14</v>
      </c>
      <c r="H55" s="3" t="s">
        <v>18</v>
      </c>
      <c r="I55" s="3" t="s">
        <v>57</v>
      </c>
      <c r="J55" s="4">
        <v>35</v>
      </c>
      <c r="K55" s="6">
        <v>35</v>
      </c>
      <c r="L55" s="3" t="s">
        <v>16</v>
      </c>
    </row>
    <row r="56" spans="2:12" x14ac:dyDescent="0.25">
      <c r="B56" s="9">
        <v>44455</v>
      </c>
      <c r="C56" s="5">
        <v>9</v>
      </c>
      <c r="D56" s="5">
        <v>16</v>
      </c>
      <c r="E56" s="9">
        <v>44455</v>
      </c>
      <c r="F56" s="5" t="s">
        <v>13</v>
      </c>
      <c r="G56" s="3" t="s">
        <v>14</v>
      </c>
      <c r="H56" s="3" t="s">
        <v>2</v>
      </c>
      <c r="I56" s="3" t="s">
        <v>57</v>
      </c>
      <c r="J56" s="4">
        <v>100</v>
      </c>
      <c r="K56" s="6">
        <v>100</v>
      </c>
      <c r="L56" s="3" t="s">
        <v>16</v>
      </c>
    </row>
    <row r="57" spans="2:12" x14ac:dyDescent="0.25">
      <c r="B57" s="9">
        <v>44455</v>
      </c>
      <c r="C57" s="5">
        <v>9</v>
      </c>
      <c r="D57" s="5">
        <v>16</v>
      </c>
      <c r="E57" s="9">
        <v>44455</v>
      </c>
      <c r="F57" s="5" t="s">
        <v>13</v>
      </c>
      <c r="G57" s="3" t="s">
        <v>14</v>
      </c>
      <c r="H57" s="3" t="s">
        <v>18</v>
      </c>
      <c r="I57" s="3" t="s">
        <v>55</v>
      </c>
      <c r="J57" s="4">
        <v>200</v>
      </c>
      <c r="K57" s="6">
        <v>200</v>
      </c>
      <c r="L57" s="3" t="s">
        <v>16</v>
      </c>
    </row>
    <row r="58" spans="2:12" x14ac:dyDescent="0.25">
      <c r="B58" s="9">
        <v>44448</v>
      </c>
      <c r="C58" s="5">
        <v>9</v>
      </c>
      <c r="D58" s="5">
        <v>9</v>
      </c>
      <c r="E58" s="9">
        <v>44448</v>
      </c>
      <c r="F58" s="5" t="s">
        <v>20</v>
      </c>
      <c r="G58" s="3" t="s">
        <v>14</v>
      </c>
      <c r="H58" s="3" t="s">
        <v>2</v>
      </c>
      <c r="I58" s="3" t="s">
        <v>63</v>
      </c>
      <c r="J58" s="4">
        <v>100</v>
      </c>
      <c r="K58" s="6">
        <v>100</v>
      </c>
      <c r="L58" s="3" t="s">
        <v>16</v>
      </c>
    </row>
    <row r="59" spans="2:12" x14ac:dyDescent="0.25">
      <c r="B59" s="9">
        <v>44448</v>
      </c>
      <c r="C59" s="5">
        <v>9</v>
      </c>
      <c r="D59" s="5">
        <v>9</v>
      </c>
      <c r="E59" s="9">
        <v>44448</v>
      </c>
      <c r="F59" s="5" t="s">
        <v>20</v>
      </c>
      <c r="G59" s="3" t="s">
        <v>14</v>
      </c>
      <c r="H59" s="3" t="s">
        <v>2</v>
      </c>
      <c r="I59" s="3" t="s">
        <v>50</v>
      </c>
      <c r="J59" s="4">
        <v>100</v>
      </c>
      <c r="K59" s="6">
        <v>100</v>
      </c>
      <c r="L59" s="3" t="s">
        <v>16</v>
      </c>
    </row>
    <row r="60" spans="2:12" x14ac:dyDescent="0.25">
      <c r="B60" s="9">
        <v>44447</v>
      </c>
      <c r="C60" s="5">
        <v>9</v>
      </c>
      <c r="D60" s="5">
        <v>8</v>
      </c>
      <c r="E60" s="9">
        <v>44447</v>
      </c>
      <c r="F60" s="5" t="s">
        <v>20</v>
      </c>
      <c r="G60" s="3" t="s">
        <v>14</v>
      </c>
      <c r="H60" s="3" t="s">
        <v>2</v>
      </c>
      <c r="I60" s="3" t="s">
        <v>62</v>
      </c>
      <c r="J60" s="4">
        <v>100</v>
      </c>
      <c r="K60" s="6">
        <v>100</v>
      </c>
      <c r="L60" s="3" t="s">
        <v>16</v>
      </c>
    </row>
    <row r="61" spans="2:12" x14ac:dyDescent="0.25">
      <c r="B61" s="9">
        <v>44447</v>
      </c>
      <c r="C61" s="5">
        <v>9</v>
      </c>
      <c r="D61" s="5">
        <v>8</v>
      </c>
      <c r="E61" s="9">
        <v>44447</v>
      </c>
      <c r="F61" s="5" t="s">
        <v>20</v>
      </c>
      <c r="G61" s="3" t="s">
        <v>14</v>
      </c>
      <c r="H61" s="3" t="s">
        <v>2</v>
      </c>
      <c r="I61" s="3" t="s">
        <v>53</v>
      </c>
      <c r="J61" s="4">
        <v>80</v>
      </c>
      <c r="K61" s="6">
        <v>80</v>
      </c>
      <c r="L61" s="3" t="s">
        <v>16</v>
      </c>
    </row>
    <row r="62" spans="2:12" x14ac:dyDescent="0.25">
      <c r="B62" s="9">
        <v>44447</v>
      </c>
      <c r="C62" s="5">
        <v>9</v>
      </c>
      <c r="D62" s="5">
        <v>8</v>
      </c>
      <c r="E62" s="9">
        <v>44447</v>
      </c>
      <c r="F62" s="5" t="s">
        <v>20</v>
      </c>
      <c r="G62" s="3" t="s">
        <v>14</v>
      </c>
      <c r="H62" s="3" t="s">
        <v>18</v>
      </c>
      <c r="I62" s="3" t="s">
        <v>51</v>
      </c>
      <c r="J62" s="4">
        <v>50</v>
      </c>
      <c r="K62" s="6">
        <v>50</v>
      </c>
      <c r="L62" s="3" t="s">
        <v>16</v>
      </c>
    </row>
    <row r="63" spans="2:12" x14ac:dyDescent="0.25">
      <c r="B63" s="9">
        <v>44445</v>
      </c>
      <c r="C63" s="5">
        <v>9</v>
      </c>
      <c r="D63" s="5">
        <v>6</v>
      </c>
      <c r="E63" s="9">
        <v>44445</v>
      </c>
      <c r="F63" s="5" t="s">
        <v>20</v>
      </c>
      <c r="G63" s="3" t="s">
        <v>14</v>
      </c>
      <c r="H63" s="3" t="s">
        <v>2</v>
      </c>
      <c r="I63" s="3" t="s">
        <v>43</v>
      </c>
      <c r="J63" s="4">
        <v>50</v>
      </c>
      <c r="K63" s="6">
        <v>50</v>
      </c>
      <c r="L63" s="3" t="s">
        <v>16</v>
      </c>
    </row>
    <row r="64" spans="2:12" x14ac:dyDescent="0.25">
      <c r="B64" s="9">
        <v>44445</v>
      </c>
      <c r="C64" s="5">
        <v>9</v>
      </c>
      <c r="D64" s="5">
        <v>8</v>
      </c>
      <c r="E64" s="9">
        <v>44445</v>
      </c>
      <c r="F64" s="5" t="s">
        <v>20</v>
      </c>
      <c r="G64" s="3" t="s">
        <v>15</v>
      </c>
      <c r="H64" s="3" t="s">
        <v>7</v>
      </c>
      <c r="I64" s="3"/>
      <c r="J64" s="4">
        <v>1192.8699999999999</v>
      </c>
      <c r="K64" s="6">
        <v>-1192.8699999999999</v>
      </c>
      <c r="L64" s="3" t="s">
        <v>16</v>
      </c>
    </row>
    <row r="65" spans="2:12" x14ac:dyDescent="0.25">
      <c r="B65" s="9">
        <v>44445</v>
      </c>
      <c r="C65" s="5">
        <v>9</v>
      </c>
      <c r="D65" s="5">
        <v>6</v>
      </c>
      <c r="E65" s="9">
        <v>44445</v>
      </c>
      <c r="F65" s="5" t="s">
        <v>20</v>
      </c>
      <c r="G65" s="3" t="s">
        <v>14</v>
      </c>
      <c r="H65" s="3" t="s">
        <v>2</v>
      </c>
      <c r="I65" s="3" t="s">
        <v>48</v>
      </c>
      <c r="J65" s="4">
        <v>75</v>
      </c>
      <c r="K65" s="6">
        <v>75</v>
      </c>
      <c r="L65" s="3" t="s">
        <v>16</v>
      </c>
    </row>
    <row r="66" spans="2:12" x14ac:dyDescent="0.25">
      <c r="B66" s="9">
        <v>44445</v>
      </c>
      <c r="C66" s="5">
        <v>9</v>
      </c>
      <c r="D66" s="5">
        <v>6</v>
      </c>
      <c r="E66" s="9">
        <v>44445</v>
      </c>
      <c r="F66" s="5" t="s">
        <v>20</v>
      </c>
      <c r="G66" s="3" t="s">
        <v>14</v>
      </c>
      <c r="H66" s="3" t="s">
        <v>2</v>
      </c>
      <c r="I66" s="3" t="s">
        <v>60</v>
      </c>
      <c r="J66" s="4">
        <v>100</v>
      </c>
      <c r="K66" s="6">
        <v>100</v>
      </c>
      <c r="L66" s="3" t="s">
        <v>16</v>
      </c>
    </row>
    <row r="67" spans="2:12" x14ac:dyDescent="0.25">
      <c r="B67" s="9">
        <v>44445</v>
      </c>
      <c r="C67" s="5">
        <v>9</v>
      </c>
      <c r="D67" s="5">
        <v>6</v>
      </c>
      <c r="E67" s="9">
        <v>44445</v>
      </c>
      <c r="F67" s="5" t="s">
        <v>20</v>
      </c>
      <c r="G67" s="3" t="s">
        <v>14</v>
      </c>
      <c r="H67" s="3" t="s">
        <v>2</v>
      </c>
      <c r="I67" s="3" t="s">
        <v>49</v>
      </c>
      <c r="J67" s="4">
        <v>100</v>
      </c>
      <c r="K67" s="6">
        <v>100</v>
      </c>
      <c r="L67" s="3" t="s">
        <v>16</v>
      </c>
    </row>
    <row r="68" spans="2:12" x14ac:dyDescent="0.25">
      <c r="B68" s="9">
        <v>44445</v>
      </c>
      <c r="C68" s="5">
        <v>9</v>
      </c>
      <c r="D68" s="5">
        <v>6</v>
      </c>
      <c r="E68" s="9">
        <v>44445</v>
      </c>
      <c r="F68" s="5" t="s">
        <v>20</v>
      </c>
      <c r="G68" s="3" t="s">
        <v>14</v>
      </c>
      <c r="H68" s="3" t="s">
        <v>18</v>
      </c>
      <c r="I68" s="3" t="s">
        <v>46</v>
      </c>
      <c r="J68" s="4">
        <v>15</v>
      </c>
      <c r="K68" s="6">
        <v>15</v>
      </c>
      <c r="L68" s="3" t="s">
        <v>16</v>
      </c>
    </row>
    <row r="69" spans="2:12" x14ac:dyDescent="0.25">
      <c r="B69" s="9">
        <v>44441</v>
      </c>
      <c r="C69" s="5">
        <v>9</v>
      </c>
      <c r="D69" s="5">
        <v>2</v>
      </c>
      <c r="E69" s="9">
        <v>44441</v>
      </c>
      <c r="F69" s="5" t="s">
        <v>20</v>
      </c>
      <c r="G69" s="3" t="s">
        <v>14</v>
      </c>
      <c r="H69" s="3" t="s">
        <v>18</v>
      </c>
      <c r="I69" s="3"/>
      <c r="J69" s="4">
        <v>336.54</v>
      </c>
      <c r="K69" s="6">
        <v>336.54</v>
      </c>
      <c r="L69" s="3" t="s">
        <v>16</v>
      </c>
    </row>
    <row r="70" spans="2:12" x14ac:dyDescent="0.25">
      <c r="B70" s="9">
        <v>44441</v>
      </c>
      <c r="C70" s="5">
        <v>9</v>
      </c>
      <c r="D70" s="5">
        <v>2</v>
      </c>
      <c r="E70" s="9">
        <v>44441</v>
      </c>
      <c r="F70" s="5" t="s">
        <v>20</v>
      </c>
      <c r="G70" s="3" t="s">
        <v>14</v>
      </c>
      <c r="H70" s="3" t="s">
        <v>18</v>
      </c>
      <c r="I70" s="3" t="s">
        <v>54</v>
      </c>
      <c r="J70" s="4">
        <v>20</v>
      </c>
      <c r="K70" s="6">
        <v>20</v>
      </c>
      <c r="L70" s="3" t="s">
        <v>16</v>
      </c>
    </row>
    <row r="71" spans="2:12" x14ac:dyDescent="0.25">
      <c r="B71" s="9">
        <v>44441</v>
      </c>
      <c r="C71" s="5">
        <v>9</v>
      </c>
      <c r="D71" s="5">
        <v>1</v>
      </c>
      <c r="E71" s="9">
        <v>44441</v>
      </c>
      <c r="F71" s="5" t="s">
        <v>20</v>
      </c>
      <c r="G71" s="3" t="s">
        <v>14</v>
      </c>
      <c r="H71" s="3" t="s">
        <v>2</v>
      </c>
      <c r="I71" s="3" t="s">
        <v>54</v>
      </c>
      <c r="J71" s="4">
        <v>100</v>
      </c>
      <c r="K71" s="6">
        <v>100</v>
      </c>
      <c r="L71" s="3" t="s">
        <v>16</v>
      </c>
    </row>
    <row r="72" spans="2:12" x14ac:dyDescent="0.25">
      <c r="B72" s="9">
        <v>44438</v>
      </c>
      <c r="C72" s="5">
        <v>8</v>
      </c>
      <c r="D72" s="5">
        <v>26</v>
      </c>
      <c r="E72" s="9">
        <v>44430</v>
      </c>
      <c r="F72" s="5" t="s">
        <v>13</v>
      </c>
      <c r="G72" s="3" t="s">
        <v>14</v>
      </c>
      <c r="H72" s="3" t="s">
        <v>2</v>
      </c>
      <c r="I72" s="3" t="s">
        <v>58</v>
      </c>
      <c r="J72" s="4">
        <v>100</v>
      </c>
      <c r="K72" s="6">
        <v>100</v>
      </c>
      <c r="L72" s="3" t="s">
        <v>16</v>
      </c>
    </row>
    <row r="73" spans="2:12" x14ac:dyDescent="0.25">
      <c r="B73" s="9">
        <v>44438</v>
      </c>
      <c r="C73" s="5">
        <v>8</v>
      </c>
      <c r="D73" s="5">
        <v>26</v>
      </c>
      <c r="E73" s="9">
        <v>44431</v>
      </c>
      <c r="F73" s="5" t="s">
        <v>13</v>
      </c>
      <c r="G73" s="3" t="s">
        <v>14</v>
      </c>
      <c r="H73" s="3" t="s">
        <v>2</v>
      </c>
      <c r="I73" s="3" t="s">
        <v>55</v>
      </c>
      <c r="J73" s="4">
        <v>100</v>
      </c>
      <c r="K73" s="6">
        <v>100</v>
      </c>
      <c r="L73" s="3" t="s">
        <v>16</v>
      </c>
    </row>
    <row r="74" spans="2:12" x14ac:dyDescent="0.25">
      <c r="B74" s="9">
        <v>44432</v>
      </c>
      <c r="C74" s="5">
        <v>8</v>
      </c>
      <c r="D74" s="5">
        <v>24</v>
      </c>
      <c r="E74" s="9">
        <v>44432</v>
      </c>
      <c r="F74" s="5" t="s">
        <v>13</v>
      </c>
      <c r="G74" s="3" t="s">
        <v>14</v>
      </c>
      <c r="H74" s="3" t="s">
        <v>2</v>
      </c>
      <c r="I74" s="3" t="s">
        <v>47</v>
      </c>
      <c r="J74" s="4">
        <v>100</v>
      </c>
      <c r="K74" s="6">
        <v>100</v>
      </c>
      <c r="L74" s="3" t="s">
        <v>16</v>
      </c>
    </row>
    <row r="75" spans="2:12" x14ac:dyDescent="0.25">
      <c r="B75" s="9">
        <v>44432</v>
      </c>
      <c r="C75" s="5">
        <v>8</v>
      </c>
      <c r="D75" s="5">
        <v>20</v>
      </c>
      <c r="E75" s="9">
        <v>44432</v>
      </c>
      <c r="F75" s="5" t="s">
        <v>13</v>
      </c>
      <c r="G75" s="3" t="s">
        <v>15</v>
      </c>
      <c r="H75" s="3" t="s">
        <v>30</v>
      </c>
      <c r="I75" s="3"/>
      <c r="J75" s="4">
        <v>85</v>
      </c>
      <c r="K75" s="6">
        <v>-85</v>
      </c>
      <c r="L75" s="3" t="s">
        <v>16</v>
      </c>
    </row>
    <row r="76" spans="2:12" x14ac:dyDescent="0.25">
      <c r="B76" s="9">
        <v>44432</v>
      </c>
      <c r="C76" s="5">
        <v>8</v>
      </c>
      <c r="D76" s="5">
        <v>20</v>
      </c>
      <c r="E76" s="9">
        <v>44432</v>
      </c>
      <c r="F76" s="5" t="s">
        <v>13</v>
      </c>
      <c r="G76" s="3" t="s">
        <v>14</v>
      </c>
      <c r="H76" s="3" t="s">
        <v>18</v>
      </c>
      <c r="I76" s="3" t="s">
        <v>50</v>
      </c>
      <c r="J76" s="4">
        <v>90</v>
      </c>
      <c r="K76" s="6">
        <v>90</v>
      </c>
      <c r="L76" s="3" t="s">
        <v>16</v>
      </c>
    </row>
    <row r="77" spans="2:12" x14ac:dyDescent="0.25">
      <c r="B77" s="9">
        <v>44432</v>
      </c>
      <c r="C77" s="5">
        <v>8</v>
      </c>
      <c r="D77" s="5">
        <v>20</v>
      </c>
      <c r="E77" s="9">
        <v>44432</v>
      </c>
      <c r="F77" s="5" t="s">
        <v>13</v>
      </c>
      <c r="G77" s="3" t="s">
        <v>15</v>
      </c>
      <c r="H77" s="3" t="s">
        <v>30</v>
      </c>
      <c r="I77" s="3"/>
      <c r="J77" s="4">
        <v>28</v>
      </c>
      <c r="K77" s="6">
        <v>-28</v>
      </c>
      <c r="L77" s="3" t="s">
        <v>16</v>
      </c>
    </row>
    <row r="78" spans="2:12" x14ac:dyDescent="0.25">
      <c r="B78" s="9">
        <v>44432</v>
      </c>
      <c r="C78" s="5">
        <v>8</v>
      </c>
      <c r="D78" s="5">
        <v>20</v>
      </c>
      <c r="E78" s="9">
        <v>44432</v>
      </c>
      <c r="F78" s="5" t="s">
        <v>13</v>
      </c>
      <c r="G78" s="3" t="s">
        <v>15</v>
      </c>
      <c r="H78" s="3" t="s">
        <v>30</v>
      </c>
      <c r="I78" s="3"/>
      <c r="J78" s="4">
        <v>10</v>
      </c>
      <c r="K78" s="6">
        <v>-10</v>
      </c>
      <c r="L78" s="3" t="s">
        <v>16</v>
      </c>
    </row>
    <row r="79" spans="2:12" x14ac:dyDescent="0.25">
      <c r="B79" s="9">
        <v>44432</v>
      </c>
      <c r="C79" s="5">
        <v>8</v>
      </c>
      <c r="D79" s="5">
        <v>20</v>
      </c>
      <c r="E79" s="9">
        <v>44432</v>
      </c>
      <c r="F79" s="5" t="s">
        <v>13</v>
      </c>
      <c r="G79" s="3" t="s">
        <v>15</v>
      </c>
      <c r="H79" s="3" t="s">
        <v>30</v>
      </c>
      <c r="I79" s="3"/>
      <c r="J79" s="4">
        <v>220</v>
      </c>
      <c r="K79" s="6">
        <v>-220</v>
      </c>
      <c r="L79" s="3" t="s">
        <v>16</v>
      </c>
    </row>
    <row r="80" spans="2:12" x14ac:dyDescent="0.25">
      <c r="B80" s="9">
        <v>44432</v>
      </c>
      <c r="C80" s="5">
        <v>8</v>
      </c>
      <c r="D80" s="5">
        <v>19</v>
      </c>
      <c r="E80" s="9">
        <v>44432</v>
      </c>
      <c r="F80" s="5" t="s">
        <v>13</v>
      </c>
      <c r="G80" s="3" t="s">
        <v>14</v>
      </c>
      <c r="H80" s="3" t="s">
        <v>2</v>
      </c>
      <c r="I80" s="3" t="s">
        <v>45</v>
      </c>
      <c r="J80" s="4">
        <v>70</v>
      </c>
      <c r="K80" s="6">
        <v>70</v>
      </c>
      <c r="L80" s="3" t="s">
        <v>16</v>
      </c>
    </row>
    <row r="81" spans="2:12" x14ac:dyDescent="0.25">
      <c r="B81" s="9">
        <v>44432</v>
      </c>
      <c r="C81" s="5">
        <v>8</v>
      </c>
      <c r="D81" s="5">
        <v>19</v>
      </c>
      <c r="E81" s="9">
        <v>44432</v>
      </c>
      <c r="F81" s="5" t="s">
        <v>13</v>
      </c>
      <c r="G81" s="3" t="s">
        <v>14</v>
      </c>
      <c r="H81" s="3" t="s">
        <v>2</v>
      </c>
      <c r="I81" s="3" t="s">
        <v>44</v>
      </c>
      <c r="J81" s="4">
        <v>50</v>
      </c>
      <c r="K81" s="6">
        <v>50</v>
      </c>
      <c r="L81" s="3" t="s">
        <v>16</v>
      </c>
    </row>
    <row r="82" spans="2:12" x14ac:dyDescent="0.25">
      <c r="B82" s="9">
        <v>44432</v>
      </c>
      <c r="C82" s="5">
        <v>8</v>
      </c>
      <c r="D82" s="5">
        <v>18</v>
      </c>
      <c r="E82" s="9">
        <v>44432</v>
      </c>
      <c r="F82" s="5" t="s">
        <v>13</v>
      </c>
      <c r="G82" s="3" t="s">
        <v>14</v>
      </c>
      <c r="H82" s="3" t="s">
        <v>18</v>
      </c>
      <c r="I82" s="3" t="s">
        <v>48</v>
      </c>
      <c r="J82" s="4">
        <v>60</v>
      </c>
      <c r="K82" s="6">
        <v>60</v>
      </c>
      <c r="L82" s="3" t="s">
        <v>16</v>
      </c>
    </row>
    <row r="83" spans="2:12" x14ac:dyDescent="0.25">
      <c r="B83" s="9">
        <v>44432</v>
      </c>
      <c r="C83" s="5">
        <v>8</v>
      </c>
      <c r="D83" s="5">
        <v>18</v>
      </c>
      <c r="E83" s="9">
        <v>44432</v>
      </c>
      <c r="F83" s="5" t="s">
        <v>20</v>
      </c>
      <c r="G83" s="3" t="s">
        <v>14</v>
      </c>
      <c r="H83" s="3" t="s">
        <v>18</v>
      </c>
      <c r="I83" s="3" t="s">
        <v>64</v>
      </c>
      <c r="J83" s="4">
        <v>25</v>
      </c>
      <c r="K83" s="6">
        <v>25</v>
      </c>
      <c r="L83" s="3" t="s">
        <v>16</v>
      </c>
    </row>
    <row r="84" spans="2:12" x14ac:dyDescent="0.25">
      <c r="B84" s="9">
        <v>44425</v>
      </c>
      <c r="C84" s="5">
        <v>8</v>
      </c>
      <c r="D84" s="5">
        <v>17</v>
      </c>
      <c r="E84" s="9">
        <v>44425</v>
      </c>
      <c r="F84" s="5" t="s">
        <v>13</v>
      </c>
      <c r="G84" s="3" t="s">
        <v>15</v>
      </c>
      <c r="H84" s="3" t="s">
        <v>9</v>
      </c>
      <c r="I84" s="3"/>
      <c r="J84" s="4">
        <v>117.06</v>
      </c>
      <c r="K84" s="6">
        <v>-117.06</v>
      </c>
      <c r="L84" s="3" t="s">
        <v>16</v>
      </c>
    </row>
    <row r="85" spans="2:12" x14ac:dyDescent="0.25">
      <c r="B85" s="9">
        <v>44425</v>
      </c>
      <c r="C85" s="5">
        <v>8</v>
      </c>
      <c r="D85" s="5">
        <v>17</v>
      </c>
      <c r="E85" s="9">
        <v>44425</v>
      </c>
      <c r="F85" s="5" t="s">
        <v>13</v>
      </c>
      <c r="G85" s="3" t="s">
        <v>14</v>
      </c>
      <c r="H85" s="3" t="s">
        <v>18</v>
      </c>
      <c r="I85" s="3" t="s">
        <v>57</v>
      </c>
      <c r="J85" s="4">
        <v>20</v>
      </c>
      <c r="K85" s="6">
        <v>20</v>
      </c>
      <c r="L85" s="3" t="s">
        <v>16</v>
      </c>
    </row>
    <row r="86" spans="2:12" x14ac:dyDescent="0.25">
      <c r="B86" s="9">
        <v>44425</v>
      </c>
      <c r="C86" s="5">
        <v>8</v>
      </c>
      <c r="D86" s="5">
        <v>17</v>
      </c>
      <c r="E86" s="9">
        <v>44425</v>
      </c>
      <c r="F86" s="5" t="s">
        <v>13</v>
      </c>
      <c r="G86" s="3" t="s">
        <v>14</v>
      </c>
      <c r="H86" s="3" t="s">
        <v>2</v>
      </c>
      <c r="I86" s="3" t="s">
        <v>57</v>
      </c>
      <c r="J86" s="4">
        <v>100</v>
      </c>
      <c r="K86" s="6">
        <v>100</v>
      </c>
      <c r="L86" s="3" t="s">
        <v>16</v>
      </c>
    </row>
    <row r="87" spans="2:12" x14ac:dyDescent="0.25">
      <c r="B87" s="9">
        <v>44425</v>
      </c>
      <c r="C87" s="5">
        <v>8</v>
      </c>
      <c r="D87" s="5">
        <v>16</v>
      </c>
      <c r="E87" s="9">
        <v>44425</v>
      </c>
      <c r="F87" s="5" t="s">
        <v>13</v>
      </c>
      <c r="G87" s="3" t="s">
        <v>14</v>
      </c>
      <c r="H87" s="3" t="s">
        <v>18</v>
      </c>
      <c r="I87" s="3" t="s">
        <v>46</v>
      </c>
      <c r="J87" s="4">
        <v>70</v>
      </c>
      <c r="K87" s="6">
        <v>70</v>
      </c>
      <c r="L87" s="3" t="s">
        <v>16</v>
      </c>
    </row>
    <row r="88" spans="2:12" x14ac:dyDescent="0.25">
      <c r="B88" s="9">
        <v>44419</v>
      </c>
      <c r="C88" s="5">
        <v>8</v>
      </c>
      <c r="D88" s="5">
        <v>11</v>
      </c>
      <c r="E88" s="9">
        <v>44419</v>
      </c>
      <c r="F88" s="5" t="s">
        <v>13</v>
      </c>
      <c r="G88" s="3" t="s">
        <v>15</v>
      </c>
      <c r="H88" s="3" t="s">
        <v>8</v>
      </c>
      <c r="I88" s="3"/>
      <c r="J88" s="4">
        <v>68.989999999999995</v>
      </c>
      <c r="K88" s="6">
        <v>-68.989999999999995</v>
      </c>
      <c r="L88" s="3" t="s">
        <v>16</v>
      </c>
    </row>
    <row r="89" spans="2:12" x14ac:dyDescent="0.25">
      <c r="B89" s="9">
        <v>44419</v>
      </c>
      <c r="C89" s="5">
        <v>8</v>
      </c>
      <c r="D89" s="5">
        <v>11</v>
      </c>
      <c r="E89" s="9">
        <v>44419</v>
      </c>
      <c r="F89" s="5" t="s">
        <v>13</v>
      </c>
      <c r="G89" s="3" t="s">
        <v>14</v>
      </c>
      <c r="H89" s="3" t="s">
        <v>2</v>
      </c>
      <c r="I89" s="3" t="s">
        <v>43</v>
      </c>
      <c r="J89" s="4">
        <v>50</v>
      </c>
      <c r="K89" s="6">
        <v>50</v>
      </c>
      <c r="L89" s="3" t="s">
        <v>16</v>
      </c>
    </row>
    <row r="90" spans="2:12" x14ac:dyDescent="0.25">
      <c r="B90" s="9">
        <v>44415</v>
      </c>
      <c r="C90" s="5">
        <v>8</v>
      </c>
      <c r="D90" s="5">
        <v>7</v>
      </c>
      <c r="E90" s="9">
        <v>44415</v>
      </c>
      <c r="F90" s="5" t="s">
        <v>20</v>
      </c>
      <c r="G90" s="3" t="s">
        <v>15</v>
      </c>
      <c r="H90" s="3" t="s">
        <v>7</v>
      </c>
      <c r="I90" s="3"/>
      <c r="J90" s="4">
        <v>1088.82</v>
      </c>
      <c r="K90" s="6">
        <v>-1088.82</v>
      </c>
      <c r="L90" s="3" t="s">
        <v>16</v>
      </c>
    </row>
    <row r="91" spans="2:12" x14ac:dyDescent="0.25">
      <c r="B91" s="9">
        <v>44415</v>
      </c>
      <c r="C91" s="5">
        <v>8</v>
      </c>
      <c r="D91" s="5">
        <v>7</v>
      </c>
      <c r="E91" s="9">
        <v>44415</v>
      </c>
      <c r="F91" s="5" t="s">
        <v>20</v>
      </c>
      <c r="G91" s="3" t="s">
        <v>14</v>
      </c>
      <c r="H91" s="3" t="s">
        <v>2</v>
      </c>
      <c r="I91" s="3" t="s">
        <v>48</v>
      </c>
      <c r="J91" s="4">
        <v>100</v>
      </c>
      <c r="K91" s="6">
        <v>100</v>
      </c>
      <c r="L91" s="3" t="s">
        <v>16</v>
      </c>
    </row>
    <row r="92" spans="2:12" x14ac:dyDescent="0.25">
      <c r="B92" s="9">
        <v>44414</v>
      </c>
      <c r="C92" s="5">
        <v>8</v>
      </c>
      <c r="D92" s="5">
        <v>6</v>
      </c>
      <c r="E92" s="9">
        <v>44414</v>
      </c>
      <c r="F92" s="5" t="s">
        <v>20</v>
      </c>
      <c r="G92" s="3" t="s">
        <v>14</v>
      </c>
      <c r="H92" s="3" t="s">
        <v>2</v>
      </c>
      <c r="I92" s="3" t="s">
        <v>50</v>
      </c>
      <c r="J92" s="4">
        <v>100</v>
      </c>
      <c r="K92" s="6">
        <v>100</v>
      </c>
      <c r="L92" s="3" t="s">
        <v>16</v>
      </c>
    </row>
    <row r="93" spans="2:12" x14ac:dyDescent="0.25">
      <c r="B93" s="9">
        <v>44414</v>
      </c>
      <c r="C93" s="5">
        <v>8</v>
      </c>
      <c r="D93" s="5">
        <v>6</v>
      </c>
      <c r="E93" s="9">
        <v>44414</v>
      </c>
      <c r="F93" s="5" t="s">
        <v>20</v>
      </c>
      <c r="G93" s="3" t="s">
        <v>14</v>
      </c>
      <c r="H93" s="3" t="s">
        <v>2</v>
      </c>
      <c r="I93" s="3" t="s">
        <v>60</v>
      </c>
      <c r="J93" s="4">
        <v>100</v>
      </c>
      <c r="K93" s="6">
        <v>100</v>
      </c>
      <c r="L93" s="3" t="s">
        <v>16</v>
      </c>
    </row>
    <row r="94" spans="2:12" x14ac:dyDescent="0.25">
      <c r="B94" s="9">
        <v>44414</v>
      </c>
      <c r="C94" s="5">
        <v>8</v>
      </c>
      <c r="D94" s="5">
        <v>6</v>
      </c>
      <c r="E94" s="9">
        <v>44414</v>
      </c>
      <c r="F94" s="5" t="s">
        <v>20</v>
      </c>
      <c r="G94" s="3" t="s">
        <v>14</v>
      </c>
      <c r="H94" s="3" t="s">
        <v>18</v>
      </c>
      <c r="I94" s="3" t="s">
        <v>60</v>
      </c>
      <c r="J94" s="4">
        <v>50</v>
      </c>
      <c r="K94" s="6">
        <v>50</v>
      </c>
      <c r="L94" s="3" t="s">
        <v>16</v>
      </c>
    </row>
    <row r="95" spans="2:12" x14ac:dyDescent="0.25">
      <c r="B95" s="9">
        <v>44414</v>
      </c>
      <c r="C95" s="5">
        <v>8</v>
      </c>
      <c r="D95" s="5">
        <v>6</v>
      </c>
      <c r="E95" s="9">
        <v>44414</v>
      </c>
      <c r="F95" s="5" t="s">
        <v>20</v>
      </c>
      <c r="G95" s="3" t="s">
        <v>14</v>
      </c>
      <c r="H95" s="3" t="s">
        <v>2</v>
      </c>
      <c r="I95" s="3" t="s">
        <v>49</v>
      </c>
      <c r="J95" s="4">
        <v>100</v>
      </c>
      <c r="K95" s="6">
        <v>100</v>
      </c>
      <c r="L95" s="3" t="s">
        <v>16</v>
      </c>
    </row>
    <row r="96" spans="2:12" x14ac:dyDescent="0.25">
      <c r="B96" s="9">
        <v>44414</v>
      </c>
      <c r="C96" s="5">
        <v>8</v>
      </c>
      <c r="D96" s="5">
        <v>6</v>
      </c>
      <c r="E96" s="9">
        <v>44414</v>
      </c>
      <c r="F96" s="5" t="s">
        <v>20</v>
      </c>
      <c r="G96" s="3" t="s">
        <v>14</v>
      </c>
      <c r="H96" s="3" t="s">
        <v>18</v>
      </c>
      <c r="I96" s="3" t="s">
        <v>49</v>
      </c>
      <c r="J96" s="4">
        <v>60</v>
      </c>
      <c r="K96" s="6">
        <v>60</v>
      </c>
      <c r="L96" s="3" t="s">
        <v>16</v>
      </c>
    </row>
    <row r="97" spans="2:12" x14ac:dyDescent="0.25">
      <c r="B97" s="9">
        <v>44410</v>
      </c>
      <c r="C97" s="5">
        <v>8</v>
      </c>
      <c r="D97" s="5">
        <v>2</v>
      </c>
      <c r="E97" s="9">
        <v>44410</v>
      </c>
      <c r="F97" s="5" t="s">
        <v>20</v>
      </c>
      <c r="G97" s="3" t="s">
        <v>14</v>
      </c>
      <c r="H97" s="3" t="s">
        <v>18</v>
      </c>
      <c r="I97" s="3" t="s">
        <v>54</v>
      </c>
      <c r="J97" s="4">
        <v>20</v>
      </c>
      <c r="K97" s="6">
        <v>20</v>
      </c>
      <c r="L97" s="3" t="s">
        <v>16</v>
      </c>
    </row>
    <row r="98" spans="2:12" x14ac:dyDescent="0.25">
      <c r="B98" s="9">
        <v>44410</v>
      </c>
      <c r="C98" s="5">
        <v>8</v>
      </c>
      <c r="D98" s="5">
        <v>2</v>
      </c>
      <c r="E98" s="9">
        <v>44410</v>
      </c>
      <c r="F98" s="5" t="s">
        <v>20</v>
      </c>
      <c r="G98" s="3" t="s">
        <v>14</v>
      </c>
      <c r="H98" s="3" t="s">
        <v>2</v>
      </c>
      <c r="I98" s="3" t="s">
        <v>54</v>
      </c>
      <c r="J98" s="4">
        <v>100</v>
      </c>
      <c r="K98" s="6">
        <v>100</v>
      </c>
      <c r="L98" s="3" t="s">
        <v>16</v>
      </c>
    </row>
    <row r="99" spans="2:12" x14ac:dyDescent="0.25">
      <c r="B99" s="9">
        <v>44410</v>
      </c>
      <c r="C99" s="5">
        <v>8</v>
      </c>
      <c r="D99" s="5">
        <v>2</v>
      </c>
      <c r="E99" s="9">
        <v>44410</v>
      </c>
      <c r="F99" s="5" t="s">
        <v>20</v>
      </c>
      <c r="G99" s="3" t="s">
        <v>14</v>
      </c>
      <c r="H99" s="3" t="s">
        <v>18</v>
      </c>
      <c r="I99" s="3"/>
      <c r="J99" s="4">
        <v>489.41</v>
      </c>
      <c r="K99" s="6">
        <v>489.41</v>
      </c>
      <c r="L99" s="3" t="s">
        <v>16</v>
      </c>
    </row>
    <row r="100" spans="2:12" x14ac:dyDescent="0.25">
      <c r="B100" s="9">
        <v>44407</v>
      </c>
      <c r="C100" s="5">
        <v>7</v>
      </c>
      <c r="D100" s="5">
        <v>31</v>
      </c>
      <c r="E100" s="9">
        <v>44407</v>
      </c>
      <c r="F100" s="5" t="s">
        <v>13</v>
      </c>
      <c r="G100" s="3" t="s">
        <v>15</v>
      </c>
      <c r="H100" s="3" t="s">
        <v>30</v>
      </c>
      <c r="I100" s="3"/>
      <c r="J100" s="4">
        <v>13.85</v>
      </c>
      <c r="K100" s="6">
        <v>-13.85</v>
      </c>
      <c r="L100" s="3" t="s">
        <v>16</v>
      </c>
    </row>
    <row r="101" spans="2:12" x14ac:dyDescent="0.25">
      <c r="B101" s="9">
        <v>44407</v>
      </c>
      <c r="C101" s="5">
        <v>7</v>
      </c>
      <c r="D101" s="5">
        <v>31</v>
      </c>
      <c r="E101" s="9">
        <v>44407</v>
      </c>
      <c r="F101" s="5" t="s">
        <v>13</v>
      </c>
      <c r="G101" s="3" t="s">
        <v>15</v>
      </c>
      <c r="H101" s="3" t="s">
        <v>30</v>
      </c>
      <c r="I101" s="3"/>
      <c r="J101" s="4">
        <v>17.7</v>
      </c>
      <c r="K101" s="6">
        <v>-17.7</v>
      </c>
      <c r="L101" s="3" t="s">
        <v>16</v>
      </c>
    </row>
    <row r="102" spans="2:12" x14ac:dyDescent="0.25">
      <c r="B102" s="9">
        <v>44407</v>
      </c>
      <c r="C102" s="5">
        <v>7</v>
      </c>
      <c r="D102" s="5">
        <v>31</v>
      </c>
      <c r="E102" s="9">
        <v>44407</v>
      </c>
      <c r="F102" s="5" t="s">
        <v>13</v>
      </c>
      <c r="G102" s="3" t="s">
        <v>15</v>
      </c>
      <c r="H102" s="3" t="s">
        <v>30</v>
      </c>
      <c r="I102" s="3"/>
      <c r="J102" s="4">
        <v>13.9</v>
      </c>
      <c r="K102" s="6">
        <v>-13.9</v>
      </c>
      <c r="L102" s="3" t="s">
        <v>16</v>
      </c>
    </row>
    <row r="103" spans="2:12" x14ac:dyDescent="0.25">
      <c r="B103" s="9">
        <v>44407</v>
      </c>
      <c r="C103" s="5">
        <v>7</v>
      </c>
      <c r="D103" s="5">
        <v>31</v>
      </c>
      <c r="E103" s="9">
        <v>44407</v>
      </c>
      <c r="F103" s="5" t="s">
        <v>13</v>
      </c>
      <c r="G103" s="3" t="s">
        <v>15</v>
      </c>
      <c r="H103" s="3" t="s">
        <v>30</v>
      </c>
      <c r="I103" s="3"/>
      <c r="J103" s="4">
        <v>36.28</v>
      </c>
      <c r="K103" s="6">
        <v>-36.28</v>
      </c>
      <c r="L103" s="3" t="s">
        <v>16</v>
      </c>
    </row>
    <row r="104" spans="2:12" x14ac:dyDescent="0.25">
      <c r="B104" s="9">
        <v>44407</v>
      </c>
      <c r="C104" s="5">
        <v>7</v>
      </c>
      <c r="D104" s="5">
        <v>7</v>
      </c>
      <c r="E104" s="9">
        <v>44407</v>
      </c>
      <c r="F104" s="5" t="s">
        <v>13</v>
      </c>
      <c r="G104" s="3" t="s">
        <v>14</v>
      </c>
      <c r="H104" s="3" t="s">
        <v>18</v>
      </c>
      <c r="I104" s="3" t="s">
        <v>45</v>
      </c>
      <c r="J104" s="4">
        <v>85</v>
      </c>
      <c r="K104" s="6">
        <v>85</v>
      </c>
      <c r="L104" s="3" t="s">
        <v>16</v>
      </c>
    </row>
    <row r="105" spans="2:12" x14ac:dyDescent="0.25">
      <c r="B105" s="9">
        <v>44407</v>
      </c>
      <c r="C105" s="5">
        <v>7</v>
      </c>
      <c r="D105" s="5">
        <v>30</v>
      </c>
      <c r="E105" s="9">
        <v>44407</v>
      </c>
      <c r="F105" s="5" t="s">
        <v>13</v>
      </c>
      <c r="G105" s="3" t="s">
        <v>15</v>
      </c>
      <c r="H105" s="3" t="s">
        <v>30</v>
      </c>
      <c r="I105" s="3"/>
      <c r="J105" s="4">
        <v>40</v>
      </c>
      <c r="K105" s="6">
        <v>-40</v>
      </c>
      <c r="L105" s="3" t="s">
        <v>16</v>
      </c>
    </row>
    <row r="106" spans="2:12" x14ac:dyDescent="0.25">
      <c r="B106" s="9">
        <v>44407</v>
      </c>
      <c r="C106" s="5">
        <v>7</v>
      </c>
      <c r="D106" s="5">
        <v>30</v>
      </c>
      <c r="E106" s="9">
        <v>44407</v>
      </c>
      <c r="F106" s="5" t="s">
        <v>13</v>
      </c>
      <c r="G106" s="3" t="s">
        <v>15</v>
      </c>
      <c r="H106" s="3" t="s">
        <v>30</v>
      </c>
      <c r="I106" s="3"/>
      <c r="J106" s="4">
        <v>18</v>
      </c>
      <c r="K106" s="6">
        <v>-18</v>
      </c>
      <c r="L106" s="3" t="s">
        <v>16</v>
      </c>
    </row>
    <row r="107" spans="2:12" x14ac:dyDescent="0.25">
      <c r="B107" s="9">
        <v>44407</v>
      </c>
      <c r="C107" s="5">
        <v>7</v>
      </c>
      <c r="D107" s="5">
        <v>30</v>
      </c>
      <c r="E107" s="9">
        <v>44407</v>
      </c>
      <c r="F107" s="5" t="s">
        <v>13</v>
      </c>
      <c r="G107" s="3" t="s">
        <v>15</v>
      </c>
      <c r="H107" s="3" t="s">
        <v>30</v>
      </c>
      <c r="I107" s="3"/>
      <c r="J107" s="4">
        <v>15</v>
      </c>
      <c r="K107" s="6">
        <v>-15</v>
      </c>
      <c r="L107" s="3" t="s">
        <v>16</v>
      </c>
    </row>
    <row r="108" spans="2:12" x14ac:dyDescent="0.25">
      <c r="B108" s="9">
        <v>44407</v>
      </c>
      <c r="C108" s="5">
        <v>7</v>
      </c>
      <c r="D108" s="5">
        <v>30</v>
      </c>
      <c r="E108" s="9">
        <v>44407</v>
      </c>
      <c r="F108" s="5" t="s">
        <v>13</v>
      </c>
      <c r="G108" s="3" t="s">
        <v>15</v>
      </c>
      <c r="H108" s="3" t="s">
        <v>30</v>
      </c>
      <c r="I108" s="3"/>
      <c r="J108" s="4">
        <v>75</v>
      </c>
      <c r="K108" s="6">
        <v>-75</v>
      </c>
      <c r="L108" s="3" t="s">
        <v>16</v>
      </c>
    </row>
    <row r="109" spans="2:12" x14ac:dyDescent="0.25">
      <c r="B109" s="9">
        <v>44407</v>
      </c>
      <c r="C109" s="5">
        <v>7</v>
      </c>
      <c r="D109" s="5">
        <v>28</v>
      </c>
      <c r="E109" s="9">
        <v>44407</v>
      </c>
      <c r="F109" s="5" t="s">
        <v>13</v>
      </c>
      <c r="G109" s="3" t="s">
        <v>15</v>
      </c>
      <c r="H109" s="3" t="s">
        <v>30</v>
      </c>
      <c r="I109" s="3"/>
      <c r="J109" s="4">
        <v>19</v>
      </c>
      <c r="K109" s="6">
        <v>-19</v>
      </c>
      <c r="L109" s="3" t="s">
        <v>16</v>
      </c>
    </row>
    <row r="110" spans="2:12" x14ac:dyDescent="0.25">
      <c r="B110" s="9">
        <v>44407</v>
      </c>
      <c r="C110" s="5">
        <v>7</v>
      </c>
      <c r="D110" s="5">
        <v>28</v>
      </c>
      <c r="E110" s="9">
        <v>44407</v>
      </c>
      <c r="F110" s="5" t="s">
        <v>13</v>
      </c>
      <c r="G110" s="3" t="s">
        <v>15</v>
      </c>
      <c r="H110" s="3" t="s">
        <v>30</v>
      </c>
      <c r="I110" s="3"/>
      <c r="J110" s="4">
        <v>24.8</v>
      </c>
      <c r="K110" s="6">
        <v>-24.8</v>
      </c>
      <c r="L110" s="3" t="s">
        <v>16</v>
      </c>
    </row>
    <row r="111" spans="2:12" x14ac:dyDescent="0.25">
      <c r="B111" s="9">
        <v>44407</v>
      </c>
      <c r="C111" s="5">
        <v>7</v>
      </c>
      <c r="D111" s="5">
        <v>27</v>
      </c>
      <c r="E111" s="9">
        <v>44407</v>
      </c>
      <c r="F111" s="5" t="s">
        <v>13</v>
      </c>
      <c r="G111" s="3" t="s">
        <v>14</v>
      </c>
      <c r="H111" s="3" t="s">
        <v>2</v>
      </c>
      <c r="I111" s="3" t="s">
        <v>47</v>
      </c>
      <c r="J111" s="4">
        <v>100</v>
      </c>
      <c r="K111" s="6">
        <v>100</v>
      </c>
      <c r="L111" s="3" t="s">
        <v>16</v>
      </c>
    </row>
    <row r="112" spans="2:12" x14ac:dyDescent="0.25">
      <c r="B112" s="9">
        <v>44407</v>
      </c>
      <c r="C112" s="5">
        <v>7</v>
      </c>
      <c r="D112" s="5">
        <v>25</v>
      </c>
      <c r="E112" s="9">
        <v>44407</v>
      </c>
      <c r="F112" s="5" t="s">
        <v>13</v>
      </c>
      <c r="G112" s="3" t="s">
        <v>14</v>
      </c>
      <c r="H112" s="3" t="s">
        <v>18</v>
      </c>
      <c r="I112" s="3" t="s">
        <v>58</v>
      </c>
      <c r="J112" s="4">
        <v>50</v>
      </c>
      <c r="K112" s="6">
        <v>50</v>
      </c>
      <c r="L112" s="3" t="s">
        <v>16</v>
      </c>
    </row>
    <row r="113" spans="2:12" x14ac:dyDescent="0.25">
      <c r="B113" s="9">
        <v>44407</v>
      </c>
      <c r="C113" s="5">
        <v>7</v>
      </c>
      <c r="D113" s="5">
        <v>25</v>
      </c>
      <c r="E113" s="9">
        <v>44407</v>
      </c>
      <c r="F113" s="5" t="s">
        <v>13</v>
      </c>
      <c r="G113" s="3" t="s">
        <v>14</v>
      </c>
      <c r="H113" s="3" t="s">
        <v>18</v>
      </c>
      <c r="I113" s="3" t="s">
        <v>55</v>
      </c>
      <c r="J113" s="4">
        <v>50</v>
      </c>
      <c r="K113" s="6">
        <v>50</v>
      </c>
      <c r="L113" s="3" t="s">
        <v>16</v>
      </c>
    </row>
    <row r="114" spans="2:12" x14ac:dyDescent="0.25">
      <c r="B114" s="9">
        <v>44407</v>
      </c>
      <c r="C114" s="5">
        <v>7</v>
      </c>
      <c r="D114" s="5">
        <v>22</v>
      </c>
      <c r="E114" s="9">
        <v>44407</v>
      </c>
      <c r="F114" s="5" t="s">
        <v>13</v>
      </c>
      <c r="G114" s="3" t="s">
        <v>14</v>
      </c>
      <c r="H114" s="3" t="s">
        <v>18</v>
      </c>
      <c r="I114" s="3"/>
      <c r="J114" s="4">
        <v>200</v>
      </c>
      <c r="K114" s="6">
        <v>200</v>
      </c>
      <c r="L114" s="3" t="s">
        <v>16</v>
      </c>
    </row>
    <row r="115" spans="2:12" x14ac:dyDescent="0.25">
      <c r="B115" s="9">
        <v>44397</v>
      </c>
      <c r="C115" s="5">
        <v>7</v>
      </c>
      <c r="D115" s="5">
        <v>19</v>
      </c>
      <c r="E115" s="9">
        <v>44397</v>
      </c>
      <c r="F115" s="5" t="s">
        <v>13</v>
      </c>
      <c r="G115" s="3" t="s">
        <v>14</v>
      </c>
      <c r="H115" s="3" t="s">
        <v>2</v>
      </c>
      <c r="I115" s="3" t="s">
        <v>57</v>
      </c>
      <c r="J115" s="4">
        <v>160</v>
      </c>
      <c r="K115" s="6">
        <v>160</v>
      </c>
      <c r="L115" s="3" t="s">
        <v>16</v>
      </c>
    </row>
    <row r="116" spans="2:12" x14ac:dyDescent="0.25">
      <c r="B116" s="9">
        <v>44397</v>
      </c>
      <c r="C116" s="5">
        <v>7</v>
      </c>
      <c r="D116" s="5">
        <v>17</v>
      </c>
      <c r="E116" s="9">
        <v>44397</v>
      </c>
      <c r="F116" s="5" t="s">
        <v>13</v>
      </c>
      <c r="G116" s="3" t="s">
        <v>14</v>
      </c>
      <c r="H116" s="3" t="s">
        <v>2</v>
      </c>
      <c r="I116" s="3" t="s">
        <v>45</v>
      </c>
      <c r="J116" s="4">
        <v>70</v>
      </c>
      <c r="K116" s="6">
        <v>70</v>
      </c>
      <c r="L116" s="3" t="s">
        <v>16</v>
      </c>
    </row>
    <row r="117" spans="2:12" x14ac:dyDescent="0.25">
      <c r="B117" s="9">
        <v>44392</v>
      </c>
      <c r="C117" s="5">
        <v>7</v>
      </c>
      <c r="D117" s="5">
        <v>15</v>
      </c>
      <c r="E117" s="9">
        <v>44392</v>
      </c>
      <c r="F117" s="5" t="s">
        <v>13</v>
      </c>
      <c r="G117" s="3" t="s">
        <v>15</v>
      </c>
      <c r="H117" s="3" t="s">
        <v>9</v>
      </c>
      <c r="I117" s="3"/>
      <c r="J117" s="4">
        <v>117.06</v>
      </c>
      <c r="K117" s="6">
        <v>-117.06</v>
      </c>
      <c r="L117" s="3" t="s">
        <v>16</v>
      </c>
    </row>
    <row r="118" spans="2:12" x14ac:dyDescent="0.25">
      <c r="B118" s="9">
        <v>44390</v>
      </c>
      <c r="C118" s="5">
        <v>7</v>
      </c>
      <c r="D118" s="5">
        <v>7</v>
      </c>
      <c r="E118" s="9">
        <v>44390</v>
      </c>
      <c r="F118" s="5" t="s">
        <v>20</v>
      </c>
      <c r="G118" s="3" t="s">
        <v>14</v>
      </c>
      <c r="H118" s="3" t="s">
        <v>18</v>
      </c>
      <c r="I118" s="3" t="s">
        <v>48</v>
      </c>
      <c r="J118" s="4">
        <v>50</v>
      </c>
      <c r="K118" s="6">
        <v>50</v>
      </c>
      <c r="L118" s="3" t="s">
        <v>16</v>
      </c>
    </row>
    <row r="119" spans="2:12" x14ac:dyDescent="0.25">
      <c r="B119" s="9">
        <v>44390</v>
      </c>
      <c r="C119" s="5">
        <v>7</v>
      </c>
      <c r="D119" s="5">
        <v>7</v>
      </c>
      <c r="E119" s="9">
        <v>44390</v>
      </c>
      <c r="F119" s="5" t="s">
        <v>20</v>
      </c>
      <c r="G119" s="3" t="s">
        <v>14</v>
      </c>
      <c r="H119" s="3" t="s">
        <v>18</v>
      </c>
      <c r="I119" s="3" t="s">
        <v>61</v>
      </c>
      <c r="J119" s="4">
        <v>40</v>
      </c>
      <c r="K119" s="6">
        <v>40</v>
      </c>
      <c r="L119" s="3" t="s">
        <v>16</v>
      </c>
    </row>
    <row r="120" spans="2:12" x14ac:dyDescent="0.25">
      <c r="B120" s="9">
        <v>44390</v>
      </c>
      <c r="C120" s="5">
        <v>7</v>
      </c>
      <c r="D120" s="5">
        <v>10</v>
      </c>
      <c r="E120" s="9">
        <v>44390</v>
      </c>
      <c r="F120" s="5" t="s">
        <v>20</v>
      </c>
      <c r="G120" s="3" t="s">
        <v>15</v>
      </c>
      <c r="H120" s="3" t="s">
        <v>30</v>
      </c>
      <c r="I120" s="3"/>
      <c r="J120" s="4">
        <v>35.17</v>
      </c>
      <c r="K120" s="6">
        <v>-35.17</v>
      </c>
      <c r="L120" s="3" t="s">
        <v>16</v>
      </c>
    </row>
    <row r="121" spans="2:12" x14ac:dyDescent="0.25">
      <c r="B121" s="9">
        <v>44390</v>
      </c>
      <c r="C121" s="5">
        <v>7</v>
      </c>
      <c r="D121" s="5">
        <v>10</v>
      </c>
      <c r="E121" s="9">
        <v>44390</v>
      </c>
      <c r="F121" s="5" t="s">
        <v>20</v>
      </c>
      <c r="G121" s="3" t="s">
        <v>15</v>
      </c>
      <c r="H121" s="3" t="s">
        <v>30</v>
      </c>
      <c r="I121" s="3"/>
      <c r="J121" s="4">
        <v>23.53</v>
      </c>
      <c r="K121" s="6">
        <v>-23.53</v>
      </c>
      <c r="L121" s="3" t="s">
        <v>16</v>
      </c>
    </row>
    <row r="122" spans="2:12" x14ac:dyDescent="0.25">
      <c r="B122" s="9">
        <v>44390</v>
      </c>
      <c r="C122" s="5">
        <v>7</v>
      </c>
      <c r="D122" s="5">
        <v>9</v>
      </c>
      <c r="E122" s="9">
        <v>44390</v>
      </c>
      <c r="F122" s="5" t="s">
        <v>20</v>
      </c>
      <c r="G122" s="3" t="s">
        <v>15</v>
      </c>
      <c r="H122" s="3" t="s">
        <v>30</v>
      </c>
      <c r="I122" s="3"/>
      <c r="J122" s="4">
        <v>24</v>
      </c>
      <c r="K122" s="6">
        <v>-24</v>
      </c>
      <c r="L122" s="3" t="s">
        <v>16</v>
      </c>
    </row>
    <row r="123" spans="2:12" x14ac:dyDescent="0.25">
      <c r="B123" s="9">
        <v>44390</v>
      </c>
      <c r="C123" s="5">
        <v>7</v>
      </c>
      <c r="D123" s="5">
        <v>9</v>
      </c>
      <c r="E123" s="9">
        <v>44390</v>
      </c>
      <c r="F123" s="5" t="s">
        <v>13</v>
      </c>
      <c r="G123" s="3" t="s">
        <v>15</v>
      </c>
      <c r="H123" s="3" t="s">
        <v>8</v>
      </c>
      <c r="I123" s="3"/>
      <c r="J123" s="4">
        <v>56.88</v>
      </c>
      <c r="K123" s="6">
        <v>-56.88</v>
      </c>
      <c r="L123" s="3" t="s">
        <v>16</v>
      </c>
    </row>
    <row r="124" spans="2:12" x14ac:dyDescent="0.25">
      <c r="B124" s="9">
        <v>44390</v>
      </c>
      <c r="C124" s="5">
        <v>7</v>
      </c>
      <c r="D124" s="5">
        <v>8</v>
      </c>
      <c r="E124" s="9">
        <v>44390</v>
      </c>
      <c r="F124" s="5" t="s">
        <v>13</v>
      </c>
      <c r="G124" s="3" t="s">
        <v>15</v>
      </c>
      <c r="H124" s="3" t="s">
        <v>7</v>
      </c>
      <c r="I124" s="3"/>
      <c r="J124" s="4">
        <v>1088.82</v>
      </c>
      <c r="K124" s="6">
        <v>-1088.82</v>
      </c>
      <c r="L124" s="3" t="s">
        <v>16</v>
      </c>
    </row>
    <row r="125" spans="2:12" x14ac:dyDescent="0.25">
      <c r="B125" s="9">
        <v>44390</v>
      </c>
      <c r="C125" s="5">
        <v>7</v>
      </c>
      <c r="D125" s="5">
        <v>7</v>
      </c>
      <c r="E125" s="9">
        <v>44390</v>
      </c>
      <c r="F125" s="5" t="s">
        <v>13</v>
      </c>
      <c r="G125" s="3" t="s">
        <v>14</v>
      </c>
      <c r="H125" s="3" t="s">
        <v>2</v>
      </c>
      <c r="I125" s="3" t="s">
        <v>44</v>
      </c>
      <c r="J125" s="4">
        <v>150</v>
      </c>
      <c r="K125" s="6">
        <v>150</v>
      </c>
      <c r="L125" s="3" t="s">
        <v>16</v>
      </c>
    </row>
    <row r="126" spans="2:12" x14ac:dyDescent="0.25">
      <c r="B126" s="9">
        <v>44390</v>
      </c>
      <c r="C126" s="5">
        <v>7</v>
      </c>
      <c r="D126" s="5">
        <v>7</v>
      </c>
      <c r="E126" s="9">
        <v>44390</v>
      </c>
      <c r="F126" s="5" t="s">
        <v>13</v>
      </c>
      <c r="G126" s="3" t="s">
        <v>14</v>
      </c>
      <c r="H126" s="3" t="s">
        <v>2</v>
      </c>
      <c r="I126" s="3" t="s">
        <v>59</v>
      </c>
      <c r="J126" s="4">
        <v>150</v>
      </c>
      <c r="K126" s="6">
        <v>150</v>
      </c>
      <c r="L126" s="3" t="s">
        <v>16</v>
      </c>
    </row>
    <row r="127" spans="2:12" x14ac:dyDescent="0.25">
      <c r="B127" s="9">
        <v>44390</v>
      </c>
      <c r="C127" s="5">
        <v>7</v>
      </c>
      <c r="D127" s="5">
        <v>7</v>
      </c>
      <c r="E127" s="9">
        <v>44390</v>
      </c>
      <c r="F127" s="5" t="s">
        <v>13</v>
      </c>
      <c r="G127" s="3" t="s">
        <v>14</v>
      </c>
      <c r="H127" s="3" t="s">
        <v>2</v>
      </c>
      <c r="I127" s="3" t="s">
        <v>51</v>
      </c>
      <c r="J127" s="4">
        <v>100</v>
      </c>
      <c r="K127" s="6">
        <v>100</v>
      </c>
      <c r="L127" s="3" t="s">
        <v>16</v>
      </c>
    </row>
    <row r="128" spans="2:12" x14ac:dyDescent="0.25">
      <c r="B128" s="9">
        <v>44390</v>
      </c>
      <c r="C128" s="5">
        <v>7</v>
      </c>
      <c r="D128" s="5">
        <v>7</v>
      </c>
      <c r="E128" s="9">
        <v>44390</v>
      </c>
      <c r="F128" s="5" t="s">
        <v>20</v>
      </c>
      <c r="G128" s="3" t="s">
        <v>14</v>
      </c>
      <c r="H128" s="3" t="s">
        <v>2</v>
      </c>
      <c r="I128" s="3" t="s">
        <v>58</v>
      </c>
      <c r="J128" s="4">
        <v>110</v>
      </c>
      <c r="K128" s="6">
        <v>110</v>
      </c>
      <c r="L128" s="3" t="s">
        <v>16</v>
      </c>
    </row>
    <row r="129" spans="2:12" x14ac:dyDescent="0.25">
      <c r="B129" s="9">
        <v>44390</v>
      </c>
      <c r="C129" s="5">
        <v>7</v>
      </c>
      <c r="D129" s="5">
        <v>13</v>
      </c>
      <c r="E129" s="9">
        <v>44390</v>
      </c>
      <c r="F129" s="5" t="s">
        <v>13</v>
      </c>
      <c r="G129" s="3" t="s">
        <v>14</v>
      </c>
      <c r="H129" s="3" t="s">
        <v>2</v>
      </c>
      <c r="I129" s="3" t="s">
        <v>55</v>
      </c>
      <c r="J129" s="4">
        <v>110</v>
      </c>
      <c r="K129" s="6">
        <v>110</v>
      </c>
      <c r="L129" s="3" t="s">
        <v>16</v>
      </c>
    </row>
    <row r="130" spans="2:12" x14ac:dyDescent="0.25">
      <c r="B130" s="9">
        <v>44390</v>
      </c>
      <c r="C130" s="5">
        <v>7</v>
      </c>
      <c r="D130" s="5">
        <v>7</v>
      </c>
      <c r="E130" s="9">
        <v>44390</v>
      </c>
      <c r="F130" s="5" t="s">
        <v>20</v>
      </c>
      <c r="G130" s="3" t="s">
        <v>14</v>
      </c>
      <c r="H130" s="3" t="s">
        <v>2</v>
      </c>
      <c r="I130" s="3" t="s">
        <v>49</v>
      </c>
      <c r="J130" s="4">
        <v>100</v>
      </c>
      <c r="K130" s="6">
        <v>100</v>
      </c>
      <c r="L130" s="3" t="s">
        <v>16</v>
      </c>
    </row>
    <row r="131" spans="2:12" x14ac:dyDescent="0.25">
      <c r="B131" s="9">
        <v>44384</v>
      </c>
      <c r="C131" s="5">
        <v>7</v>
      </c>
      <c r="D131" s="5">
        <v>7</v>
      </c>
      <c r="E131" s="9">
        <v>44384</v>
      </c>
      <c r="F131" s="5" t="s">
        <v>20</v>
      </c>
      <c r="G131" s="3" t="s">
        <v>14</v>
      </c>
      <c r="H131" s="3" t="s">
        <v>2</v>
      </c>
      <c r="I131" s="3" t="s">
        <v>46</v>
      </c>
      <c r="J131" s="4">
        <v>50</v>
      </c>
      <c r="K131" s="6">
        <v>50</v>
      </c>
      <c r="L131" s="3" t="s">
        <v>16</v>
      </c>
    </row>
    <row r="132" spans="2:12" x14ac:dyDescent="0.25">
      <c r="B132" s="9">
        <v>44383</v>
      </c>
      <c r="C132" s="5">
        <v>7</v>
      </c>
      <c r="D132" s="5">
        <v>6</v>
      </c>
      <c r="E132" s="9">
        <v>44383</v>
      </c>
      <c r="F132" s="5" t="s">
        <v>20</v>
      </c>
      <c r="G132" s="3" t="s">
        <v>14</v>
      </c>
      <c r="H132" s="3" t="s">
        <v>2</v>
      </c>
      <c r="I132" s="3" t="s">
        <v>48</v>
      </c>
      <c r="J132" s="4">
        <v>100</v>
      </c>
      <c r="K132" s="6">
        <v>100</v>
      </c>
      <c r="L132" s="3" t="s">
        <v>16</v>
      </c>
    </row>
    <row r="133" spans="2:12" x14ac:dyDescent="0.25">
      <c r="B133" s="9">
        <v>44383</v>
      </c>
      <c r="C133" s="5">
        <v>7</v>
      </c>
      <c r="D133" s="5">
        <v>6</v>
      </c>
      <c r="E133" s="9">
        <v>44383</v>
      </c>
      <c r="F133" s="5" t="s">
        <v>20</v>
      </c>
      <c r="G133" s="3" t="s">
        <v>14</v>
      </c>
      <c r="H133" s="3" t="s">
        <v>2</v>
      </c>
      <c r="I133" s="3" t="s">
        <v>50</v>
      </c>
      <c r="J133" s="4">
        <v>100</v>
      </c>
      <c r="K133" s="6">
        <v>100</v>
      </c>
      <c r="L133" s="3" t="s">
        <v>16</v>
      </c>
    </row>
    <row r="134" spans="2:12" x14ac:dyDescent="0.25">
      <c r="B134" s="9">
        <v>44382</v>
      </c>
      <c r="C134" s="5">
        <v>7</v>
      </c>
      <c r="D134" s="5">
        <v>5</v>
      </c>
      <c r="E134" s="9">
        <v>44382</v>
      </c>
      <c r="F134" s="5" t="s">
        <v>20</v>
      </c>
      <c r="G134" s="3" t="s">
        <v>14</v>
      </c>
      <c r="H134" s="3" t="s">
        <v>2</v>
      </c>
      <c r="I134" s="3" t="s">
        <v>60</v>
      </c>
      <c r="J134" s="4">
        <v>100</v>
      </c>
      <c r="K134" s="6">
        <v>100</v>
      </c>
      <c r="L134" s="3" t="s">
        <v>16</v>
      </c>
    </row>
    <row r="135" spans="2:12" x14ac:dyDescent="0.25">
      <c r="B135" s="9">
        <v>44382</v>
      </c>
      <c r="C135" s="5">
        <v>7</v>
      </c>
      <c r="D135" s="5">
        <v>5</v>
      </c>
      <c r="E135" s="9">
        <v>44382</v>
      </c>
      <c r="F135" s="5" t="s">
        <v>20</v>
      </c>
      <c r="G135" s="3" t="s">
        <v>14</v>
      </c>
      <c r="H135" s="3" t="s">
        <v>18</v>
      </c>
      <c r="I135" s="3"/>
      <c r="J135" s="4">
        <v>142.81</v>
      </c>
      <c r="K135" s="6">
        <v>142.81</v>
      </c>
      <c r="L135" s="3" t="s">
        <v>16</v>
      </c>
    </row>
    <row r="136" spans="2:12" x14ac:dyDescent="0.25">
      <c r="B136" s="9">
        <v>44382</v>
      </c>
      <c r="C136" s="5">
        <v>7</v>
      </c>
      <c r="D136" s="5">
        <v>5</v>
      </c>
      <c r="E136" s="9">
        <v>44382</v>
      </c>
      <c r="F136" s="5" t="s">
        <v>20</v>
      </c>
      <c r="G136" s="3" t="s">
        <v>14</v>
      </c>
      <c r="H136" s="3" t="s">
        <v>2</v>
      </c>
      <c r="I136" s="3" t="s">
        <v>52</v>
      </c>
      <c r="J136" s="4">
        <v>100</v>
      </c>
      <c r="K136" s="6">
        <v>100</v>
      </c>
      <c r="L136" s="3" t="s">
        <v>16</v>
      </c>
    </row>
    <row r="137" spans="2:12" x14ac:dyDescent="0.25">
      <c r="B137" s="9">
        <v>44377</v>
      </c>
      <c r="C137" s="5">
        <v>7</v>
      </c>
      <c r="D137" s="5">
        <v>26</v>
      </c>
      <c r="E137" s="9">
        <v>44383</v>
      </c>
      <c r="F137" s="5" t="s">
        <v>20</v>
      </c>
      <c r="G137" s="3" t="s">
        <v>15</v>
      </c>
      <c r="H137" s="3" t="s">
        <v>30</v>
      </c>
      <c r="I137" s="3"/>
      <c r="J137" s="4">
        <v>23.8</v>
      </c>
      <c r="K137" s="6">
        <v>-23.8</v>
      </c>
      <c r="L137" s="3" t="s">
        <v>16</v>
      </c>
    </row>
    <row r="138" spans="2:12" x14ac:dyDescent="0.25">
      <c r="B138" s="9">
        <v>44377</v>
      </c>
      <c r="C138" s="5">
        <v>7</v>
      </c>
      <c r="D138" s="5">
        <v>26</v>
      </c>
      <c r="E138" s="9">
        <v>44384</v>
      </c>
      <c r="F138" s="5" t="s">
        <v>20</v>
      </c>
      <c r="G138" s="3" t="s">
        <v>15</v>
      </c>
      <c r="H138" s="3" t="s">
        <v>30</v>
      </c>
      <c r="I138" s="3"/>
      <c r="J138" s="4">
        <v>6.16</v>
      </c>
      <c r="K138" s="6">
        <v>-6.16</v>
      </c>
      <c r="L138" s="3" t="s">
        <v>16</v>
      </c>
    </row>
    <row r="139" spans="2:12" x14ac:dyDescent="0.25">
      <c r="B139" s="9">
        <v>44377</v>
      </c>
      <c r="C139" s="5">
        <v>7</v>
      </c>
      <c r="D139" s="5">
        <v>26</v>
      </c>
      <c r="E139" s="9">
        <v>44385</v>
      </c>
      <c r="F139" s="5" t="s">
        <v>20</v>
      </c>
      <c r="G139" s="3" t="s">
        <v>15</v>
      </c>
      <c r="H139" s="3" t="s">
        <v>30</v>
      </c>
      <c r="I139" s="3"/>
      <c r="J139" s="4">
        <v>23.26</v>
      </c>
      <c r="K139" s="6">
        <v>-23.26</v>
      </c>
      <c r="L139" s="3" t="s">
        <v>16</v>
      </c>
    </row>
    <row r="140" spans="2:12" x14ac:dyDescent="0.25">
      <c r="B140" s="9">
        <v>44377</v>
      </c>
      <c r="C140" s="5">
        <v>7</v>
      </c>
      <c r="D140" s="5">
        <v>26</v>
      </c>
      <c r="E140" s="9">
        <v>44386</v>
      </c>
      <c r="F140" s="5" t="s">
        <v>20</v>
      </c>
      <c r="G140" s="3" t="s">
        <v>15</v>
      </c>
      <c r="H140" s="3" t="s">
        <v>30</v>
      </c>
      <c r="I140" s="3"/>
      <c r="J140" s="4">
        <v>53.8</v>
      </c>
      <c r="K140" s="6">
        <v>-53.8</v>
      </c>
      <c r="L140" s="3" t="s">
        <v>16</v>
      </c>
    </row>
    <row r="141" spans="2:12" x14ac:dyDescent="0.25">
      <c r="B141" s="9">
        <v>44377</v>
      </c>
      <c r="C141" s="5">
        <v>7</v>
      </c>
      <c r="D141" s="5">
        <v>26</v>
      </c>
      <c r="E141" s="9">
        <v>44387</v>
      </c>
      <c r="F141" s="5" t="s">
        <v>20</v>
      </c>
      <c r="G141" s="3" t="s">
        <v>15</v>
      </c>
      <c r="H141" s="3" t="s">
        <v>30</v>
      </c>
      <c r="I141" s="3"/>
      <c r="J141" s="4">
        <v>75.39</v>
      </c>
      <c r="K141" s="6">
        <v>-75.39</v>
      </c>
      <c r="L141" s="3" t="s">
        <v>16</v>
      </c>
    </row>
    <row r="142" spans="2:12" x14ac:dyDescent="0.25">
      <c r="B142" s="9">
        <v>44377</v>
      </c>
      <c r="C142" s="5">
        <v>7</v>
      </c>
      <c r="D142" s="5">
        <v>26</v>
      </c>
      <c r="E142" s="9">
        <v>44388</v>
      </c>
      <c r="F142" s="5" t="s">
        <v>20</v>
      </c>
      <c r="G142" s="3" t="s">
        <v>15</v>
      </c>
      <c r="H142" s="3" t="s">
        <v>30</v>
      </c>
      <c r="I142" s="3"/>
      <c r="J142" s="4">
        <v>27</v>
      </c>
      <c r="K142" s="6">
        <v>-27</v>
      </c>
      <c r="L142" s="3" t="s">
        <v>16</v>
      </c>
    </row>
    <row r="143" spans="2:12" x14ac:dyDescent="0.25">
      <c r="B143" s="9">
        <v>44377</v>
      </c>
      <c r="C143" s="5">
        <v>7</v>
      </c>
      <c r="D143" s="5">
        <v>21</v>
      </c>
      <c r="E143" s="9">
        <v>44389</v>
      </c>
      <c r="F143" s="5" t="s">
        <v>20</v>
      </c>
      <c r="G143" s="3" t="s">
        <v>14</v>
      </c>
      <c r="H143" s="3" t="s">
        <v>2</v>
      </c>
      <c r="I143" s="3" t="s">
        <v>47</v>
      </c>
      <c r="J143" s="4">
        <v>100</v>
      </c>
      <c r="K143" s="6">
        <v>100</v>
      </c>
      <c r="L143" s="3" t="s">
        <v>16</v>
      </c>
    </row>
    <row r="144" spans="2:12" x14ac:dyDescent="0.25">
      <c r="B144" s="9">
        <v>44377</v>
      </c>
      <c r="C144" s="5">
        <v>7</v>
      </c>
      <c r="D144" s="5">
        <v>26</v>
      </c>
      <c r="E144" s="9">
        <v>44390</v>
      </c>
      <c r="F144" s="5" t="s">
        <v>20</v>
      </c>
      <c r="G144" s="3" t="s">
        <v>14</v>
      </c>
      <c r="H144" s="3" t="s">
        <v>2</v>
      </c>
      <c r="I144" s="3" t="s">
        <v>51</v>
      </c>
      <c r="J144" s="4">
        <v>100</v>
      </c>
      <c r="K144" s="6">
        <v>100</v>
      </c>
      <c r="L144" s="3" t="s">
        <v>16</v>
      </c>
    </row>
    <row r="145" spans="2:12" x14ac:dyDescent="0.25">
      <c r="B145" s="9">
        <v>44368</v>
      </c>
      <c r="C145" s="5">
        <v>6</v>
      </c>
      <c r="D145" s="5">
        <v>21</v>
      </c>
      <c r="E145" s="9">
        <v>44368</v>
      </c>
      <c r="F145" s="5" t="s">
        <v>20</v>
      </c>
      <c r="G145" s="3" t="s">
        <v>14</v>
      </c>
      <c r="H145" s="3" t="s">
        <v>2</v>
      </c>
      <c r="I145" s="3" t="s">
        <v>57</v>
      </c>
      <c r="J145" s="4">
        <v>100</v>
      </c>
      <c r="K145" s="6">
        <v>100</v>
      </c>
      <c r="L145" s="3" t="s">
        <v>16</v>
      </c>
    </row>
    <row r="146" spans="2:12" x14ac:dyDescent="0.25">
      <c r="B146" s="9">
        <v>44363</v>
      </c>
      <c r="C146" s="5">
        <v>6</v>
      </c>
      <c r="D146" s="5">
        <v>10</v>
      </c>
      <c r="E146" s="9">
        <v>44363</v>
      </c>
      <c r="F146" s="5" t="s">
        <v>20</v>
      </c>
      <c r="G146" s="3" t="s">
        <v>14</v>
      </c>
      <c r="H146" s="3" t="s">
        <v>18</v>
      </c>
      <c r="I146" s="3" t="s">
        <v>62</v>
      </c>
      <c r="J146" s="4">
        <v>85</v>
      </c>
      <c r="K146" s="6">
        <v>85</v>
      </c>
      <c r="L146" s="3" t="s">
        <v>16</v>
      </c>
    </row>
    <row r="147" spans="2:12" x14ac:dyDescent="0.25">
      <c r="B147" s="9">
        <v>44363</v>
      </c>
      <c r="C147" s="5">
        <v>6</v>
      </c>
      <c r="D147" s="5">
        <v>10</v>
      </c>
      <c r="E147" s="9">
        <v>44363</v>
      </c>
      <c r="F147" s="5" t="s">
        <v>20</v>
      </c>
      <c r="G147" s="3" t="s">
        <v>15</v>
      </c>
      <c r="H147" s="3" t="s">
        <v>37</v>
      </c>
      <c r="I147" s="3"/>
      <c r="J147" s="4">
        <v>85</v>
      </c>
      <c r="K147" s="6">
        <v>-85</v>
      </c>
      <c r="L147" s="3" t="s">
        <v>16</v>
      </c>
    </row>
    <row r="148" spans="2:12" x14ac:dyDescent="0.25">
      <c r="B148" s="9">
        <v>44363</v>
      </c>
      <c r="C148" s="5">
        <v>6</v>
      </c>
      <c r="D148" s="5">
        <v>16</v>
      </c>
      <c r="E148" s="9">
        <v>44363</v>
      </c>
      <c r="F148" s="5" t="s">
        <v>13</v>
      </c>
      <c r="G148" s="3" t="s">
        <v>15</v>
      </c>
      <c r="H148" s="3" t="s">
        <v>9</v>
      </c>
      <c r="I148" s="3"/>
      <c r="J148" s="4">
        <v>116.02</v>
      </c>
      <c r="K148" s="6">
        <v>-116.02</v>
      </c>
      <c r="L148" s="3" t="s">
        <v>16</v>
      </c>
    </row>
    <row r="149" spans="2:12" x14ac:dyDescent="0.25">
      <c r="B149" s="9">
        <v>44363</v>
      </c>
      <c r="C149" s="5">
        <v>6</v>
      </c>
      <c r="D149" s="5">
        <v>15</v>
      </c>
      <c r="E149" s="9">
        <v>44363</v>
      </c>
      <c r="F149" s="5" t="s">
        <v>13</v>
      </c>
      <c r="G149" s="3" t="s">
        <v>15</v>
      </c>
      <c r="H149" s="3" t="s">
        <v>30</v>
      </c>
      <c r="I149" s="3"/>
      <c r="J149" s="4">
        <v>23.5</v>
      </c>
      <c r="K149" s="6">
        <v>-23.5</v>
      </c>
      <c r="L149" s="3" t="s">
        <v>16</v>
      </c>
    </row>
    <row r="150" spans="2:12" x14ac:dyDescent="0.25">
      <c r="B150" s="9">
        <v>44363</v>
      </c>
      <c r="C150" s="5">
        <v>6</v>
      </c>
      <c r="D150" s="5">
        <v>15</v>
      </c>
      <c r="E150" s="9">
        <v>44363</v>
      </c>
      <c r="F150" s="5" t="s">
        <v>13</v>
      </c>
      <c r="G150" s="3" t="s">
        <v>15</v>
      </c>
      <c r="H150" s="3" t="s">
        <v>30</v>
      </c>
      <c r="I150" s="3"/>
      <c r="J150" s="4">
        <v>41.99</v>
      </c>
      <c r="K150" s="6">
        <v>-41.99</v>
      </c>
      <c r="L150" s="3" t="s">
        <v>16</v>
      </c>
    </row>
    <row r="151" spans="2:12" x14ac:dyDescent="0.25">
      <c r="B151" s="9">
        <v>44363</v>
      </c>
      <c r="C151" s="5">
        <v>6</v>
      </c>
      <c r="D151" s="5">
        <v>12</v>
      </c>
      <c r="E151" s="9">
        <v>44363</v>
      </c>
      <c r="F151" s="5" t="s">
        <v>13</v>
      </c>
      <c r="G151" s="3" t="s">
        <v>15</v>
      </c>
      <c r="H151" s="3" t="s">
        <v>30</v>
      </c>
      <c r="I151" s="3"/>
      <c r="J151" s="4">
        <v>30</v>
      </c>
      <c r="K151" s="6">
        <v>-30</v>
      </c>
      <c r="L151" s="3" t="s">
        <v>16</v>
      </c>
    </row>
    <row r="152" spans="2:12" x14ac:dyDescent="0.25">
      <c r="B152" s="9">
        <v>44363</v>
      </c>
      <c r="C152" s="5">
        <v>6</v>
      </c>
      <c r="D152" s="5">
        <v>12</v>
      </c>
      <c r="E152" s="9">
        <v>44363</v>
      </c>
      <c r="F152" s="5" t="s">
        <v>13</v>
      </c>
      <c r="G152" s="3" t="s">
        <v>15</v>
      </c>
      <c r="H152" s="3" t="s">
        <v>30</v>
      </c>
      <c r="I152" s="3"/>
      <c r="J152" s="4">
        <v>48.65</v>
      </c>
      <c r="K152" s="6">
        <v>-48.65</v>
      </c>
      <c r="L152" s="3" t="s">
        <v>16</v>
      </c>
    </row>
    <row r="153" spans="2:12" x14ac:dyDescent="0.25">
      <c r="B153" s="9">
        <v>44363</v>
      </c>
      <c r="C153" s="5">
        <v>6</v>
      </c>
      <c r="D153" s="5">
        <v>12</v>
      </c>
      <c r="E153" s="9">
        <v>44363</v>
      </c>
      <c r="F153" s="5" t="s">
        <v>13</v>
      </c>
      <c r="G153" s="3" t="s">
        <v>15</v>
      </c>
      <c r="H153" s="3" t="s">
        <v>30</v>
      </c>
      <c r="I153" s="3"/>
      <c r="J153" s="4">
        <v>31.1</v>
      </c>
      <c r="K153" s="6">
        <v>-31.1</v>
      </c>
      <c r="L153" s="3" t="s">
        <v>16</v>
      </c>
    </row>
    <row r="154" spans="2:12" x14ac:dyDescent="0.25">
      <c r="B154" s="9">
        <v>44363</v>
      </c>
      <c r="C154" s="5">
        <v>6</v>
      </c>
      <c r="D154" s="5">
        <v>12</v>
      </c>
      <c r="E154" s="9">
        <v>44363</v>
      </c>
      <c r="F154" s="5" t="s">
        <v>13</v>
      </c>
      <c r="G154" s="3" t="s">
        <v>15</v>
      </c>
      <c r="H154" s="3" t="s">
        <v>30</v>
      </c>
      <c r="I154" s="3"/>
      <c r="J154" s="4">
        <v>17</v>
      </c>
      <c r="K154" s="6">
        <v>-17</v>
      </c>
      <c r="L154" s="3" t="s">
        <v>16</v>
      </c>
    </row>
    <row r="155" spans="2:12" x14ac:dyDescent="0.25">
      <c r="B155" s="9">
        <v>44363</v>
      </c>
      <c r="C155" s="5">
        <v>6</v>
      </c>
      <c r="D155" s="5">
        <v>10</v>
      </c>
      <c r="E155" s="9">
        <v>44363</v>
      </c>
      <c r="F155" s="5" t="s">
        <v>20</v>
      </c>
      <c r="G155" s="3" t="s">
        <v>14</v>
      </c>
      <c r="H155" s="3" t="s">
        <v>2</v>
      </c>
      <c r="I155" s="3" t="s">
        <v>58</v>
      </c>
      <c r="J155" s="4">
        <v>200</v>
      </c>
      <c r="K155" s="6">
        <v>200</v>
      </c>
      <c r="L155" s="3" t="s">
        <v>16</v>
      </c>
    </row>
    <row r="156" spans="2:12" x14ac:dyDescent="0.25">
      <c r="B156" s="9">
        <v>44363</v>
      </c>
      <c r="C156" s="5">
        <v>6</v>
      </c>
      <c r="D156" s="5">
        <v>10</v>
      </c>
      <c r="E156" s="9">
        <v>44363</v>
      </c>
      <c r="F156" s="5" t="s">
        <v>20</v>
      </c>
      <c r="G156" s="3" t="s">
        <v>14</v>
      </c>
      <c r="H156" s="3" t="s">
        <v>2</v>
      </c>
      <c r="I156" s="3" t="s">
        <v>55</v>
      </c>
      <c r="J156" s="4">
        <v>200</v>
      </c>
      <c r="K156" s="6">
        <v>200</v>
      </c>
      <c r="L156" s="3" t="s">
        <v>16</v>
      </c>
    </row>
    <row r="157" spans="2:12" x14ac:dyDescent="0.25">
      <c r="B157" s="9">
        <v>44363</v>
      </c>
      <c r="C157" s="5">
        <v>6</v>
      </c>
      <c r="D157" s="5">
        <v>9</v>
      </c>
      <c r="E157" s="9">
        <v>44363</v>
      </c>
      <c r="F157" s="5" t="s">
        <v>20</v>
      </c>
      <c r="G157" s="3" t="s">
        <v>15</v>
      </c>
      <c r="H157" s="3" t="s">
        <v>8</v>
      </c>
      <c r="I157" s="3"/>
      <c r="J157" s="4">
        <v>52.22</v>
      </c>
      <c r="K157" s="6">
        <v>-52.22</v>
      </c>
      <c r="L157" s="3" t="s">
        <v>16</v>
      </c>
    </row>
    <row r="158" spans="2:12" x14ac:dyDescent="0.25">
      <c r="B158" s="9">
        <v>44355</v>
      </c>
      <c r="C158" s="5">
        <v>6</v>
      </c>
      <c r="D158" s="5">
        <v>7</v>
      </c>
      <c r="E158" s="9">
        <v>44355</v>
      </c>
      <c r="F158" s="5" t="s">
        <v>20</v>
      </c>
      <c r="G158" s="3" t="s">
        <v>14</v>
      </c>
      <c r="H158" s="3" t="s">
        <v>2</v>
      </c>
      <c r="I158" s="3" t="s">
        <v>49</v>
      </c>
      <c r="J158" s="4">
        <v>100</v>
      </c>
      <c r="K158" s="6">
        <v>100</v>
      </c>
      <c r="L158" s="3" t="s">
        <v>16</v>
      </c>
    </row>
    <row r="159" spans="2:12" x14ac:dyDescent="0.25">
      <c r="B159" s="9">
        <v>44363</v>
      </c>
      <c r="C159" s="5">
        <v>6</v>
      </c>
      <c r="D159" s="5">
        <v>7</v>
      </c>
      <c r="E159" s="9">
        <v>44363</v>
      </c>
      <c r="F159" s="5" t="s">
        <v>20</v>
      </c>
      <c r="G159" s="3" t="s">
        <v>15</v>
      </c>
      <c r="H159" s="3" t="s">
        <v>7</v>
      </c>
      <c r="I159" s="3"/>
      <c r="J159" s="4">
        <v>1088.82</v>
      </c>
      <c r="K159" s="6">
        <v>-1088.82</v>
      </c>
      <c r="L159" s="3" t="s">
        <v>16</v>
      </c>
    </row>
    <row r="160" spans="2:12" x14ac:dyDescent="0.25">
      <c r="B160" s="9">
        <v>44363</v>
      </c>
      <c r="C160" s="5">
        <v>6</v>
      </c>
      <c r="D160" s="5">
        <v>7</v>
      </c>
      <c r="E160" s="9">
        <v>44363</v>
      </c>
      <c r="F160" s="5" t="s">
        <v>20</v>
      </c>
      <c r="G160" s="3" t="s">
        <v>14</v>
      </c>
      <c r="H160" s="3" t="s">
        <v>18</v>
      </c>
      <c r="I160" s="3" t="s">
        <v>61</v>
      </c>
      <c r="J160" s="4">
        <v>304.42</v>
      </c>
      <c r="K160" s="6">
        <v>304.42</v>
      </c>
      <c r="L160" s="3" t="s">
        <v>16</v>
      </c>
    </row>
    <row r="161" spans="2:12" x14ac:dyDescent="0.25">
      <c r="B161" s="9">
        <v>44354</v>
      </c>
      <c r="C161" s="5">
        <v>6</v>
      </c>
      <c r="D161" s="5">
        <v>7</v>
      </c>
      <c r="E161" s="9">
        <v>44354</v>
      </c>
      <c r="F161" s="5" t="s">
        <v>20</v>
      </c>
      <c r="G161" s="3" t="s">
        <v>14</v>
      </c>
      <c r="H161" s="3" t="s">
        <v>2</v>
      </c>
      <c r="I161" s="3" t="s">
        <v>52</v>
      </c>
      <c r="J161" s="4">
        <v>100</v>
      </c>
      <c r="K161" s="6">
        <v>100</v>
      </c>
      <c r="L161" s="3" t="s">
        <v>16</v>
      </c>
    </row>
    <row r="162" spans="2:12" x14ac:dyDescent="0.25">
      <c r="B162" s="9">
        <v>44354</v>
      </c>
      <c r="C162" s="5">
        <v>6</v>
      </c>
      <c r="D162" s="5">
        <v>7</v>
      </c>
      <c r="E162" s="9">
        <v>44354</v>
      </c>
      <c r="F162" s="5" t="s">
        <v>20</v>
      </c>
      <c r="G162" s="3" t="s">
        <v>14</v>
      </c>
      <c r="H162" s="3" t="s">
        <v>2</v>
      </c>
      <c r="I162" s="3" t="s">
        <v>60</v>
      </c>
      <c r="J162" s="4">
        <v>100</v>
      </c>
      <c r="K162" s="6">
        <v>100</v>
      </c>
      <c r="L162" s="3" t="s">
        <v>16</v>
      </c>
    </row>
    <row r="163" spans="2:12" x14ac:dyDescent="0.25">
      <c r="B163" s="9">
        <v>44352</v>
      </c>
      <c r="C163" s="5">
        <v>6</v>
      </c>
      <c r="D163" s="5">
        <v>1</v>
      </c>
      <c r="E163" s="9">
        <v>44352</v>
      </c>
      <c r="F163" s="5" t="s">
        <v>20</v>
      </c>
      <c r="G163" s="3" t="s">
        <v>15</v>
      </c>
      <c r="H163" s="3" t="s">
        <v>30</v>
      </c>
      <c r="I163" s="3"/>
      <c r="J163" s="4">
        <v>49.79</v>
      </c>
      <c r="K163" s="6">
        <v>-49.79</v>
      </c>
      <c r="L163" s="3" t="s">
        <v>16</v>
      </c>
    </row>
    <row r="164" spans="2:12" x14ac:dyDescent="0.25">
      <c r="B164" s="9">
        <v>44363</v>
      </c>
      <c r="C164" s="5">
        <v>6</v>
      </c>
      <c r="D164" s="5">
        <v>1</v>
      </c>
      <c r="E164" s="9">
        <v>44363</v>
      </c>
      <c r="F164" s="5" t="s">
        <v>20</v>
      </c>
      <c r="G164" s="3" t="s">
        <v>14</v>
      </c>
      <c r="H164" s="3" t="s">
        <v>18</v>
      </c>
      <c r="I164" s="3"/>
      <c r="J164" s="4">
        <v>441.63</v>
      </c>
      <c r="K164" s="6">
        <v>341.63</v>
      </c>
      <c r="L164" s="3" t="s">
        <v>16</v>
      </c>
    </row>
    <row r="165" spans="2:12" x14ac:dyDescent="0.25">
      <c r="B165" s="9">
        <v>44352</v>
      </c>
      <c r="C165" s="5">
        <v>6</v>
      </c>
      <c r="D165" s="5">
        <v>1</v>
      </c>
      <c r="E165" s="9">
        <v>44352</v>
      </c>
      <c r="F165" s="5" t="s">
        <v>20</v>
      </c>
      <c r="G165" s="3" t="s">
        <v>15</v>
      </c>
      <c r="H165" s="3" t="s">
        <v>30</v>
      </c>
      <c r="I165" s="3"/>
      <c r="J165" s="4">
        <v>32.5</v>
      </c>
      <c r="K165" s="6">
        <v>-32.5</v>
      </c>
      <c r="L165" s="3" t="s">
        <v>16</v>
      </c>
    </row>
    <row r="166" spans="2:12" x14ac:dyDescent="0.25">
      <c r="B166" s="9">
        <v>44352</v>
      </c>
      <c r="C166" s="5">
        <v>6</v>
      </c>
      <c r="D166" s="5">
        <v>1</v>
      </c>
      <c r="E166" s="9">
        <v>44352</v>
      </c>
      <c r="F166" s="5" t="s">
        <v>20</v>
      </c>
      <c r="G166" s="3" t="s">
        <v>15</v>
      </c>
      <c r="H166" s="3" t="s">
        <v>30</v>
      </c>
      <c r="I166" s="3"/>
      <c r="J166" s="4">
        <v>59.8</v>
      </c>
      <c r="K166" s="6">
        <v>-59.8</v>
      </c>
      <c r="L166" s="3" t="s">
        <v>16</v>
      </c>
    </row>
    <row r="167" spans="2:12" x14ac:dyDescent="0.25">
      <c r="B167" s="9">
        <v>44352</v>
      </c>
      <c r="C167" s="5">
        <v>6</v>
      </c>
      <c r="D167" s="5">
        <v>5</v>
      </c>
      <c r="E167" s="9">
        <v>44352</v>
      </c>
      <c r="F167" s="5" t="s">
        <v>20</v>
      </c>
      <c r="G167" s="3" t="s">
        <v>14</v>
      </c>
      <c r="H167" s="3" t="s">
        <v>2</v>
      </c>
      <c r="I167" s="3" t="s">
        <v>61</v>
      </c>
      <c r="J167" s="4">
        <v>100</v>
      </c>
      <c r="K167" s="6">
        <v>100</v>
      </c>
      <c r="L167" s="3" t="s">
        <v>16</v>
      </c>
    </row>
    <row r="168" spans="2:12" x14ac:dyDescent="0.25">
      <c r="B168" s="9">
        <v>44352</v>
      </c>
      <c r="C168" s="5">
        <v>6</v>
      </c>
      <c r="D168" s="5">
        <v>5</v>
      </c>
      <c r="E168" s="9">
        <v>44352</v>
      </c>
      <c r="F168" s="5" t="s">
        <v>20</v>
      </c>
      <c r="G168" s="3" t="s">
        <v>14</v>
      </c>
      <c r="H168" s="3" t="s">
        <v>2</v>
      </c>
      <c r="I168" s="3" t="s">
        <v>48</v>
      </c>
      <c r="J168" s="4">
        <v>100</v>
      </c>
      <c r="K168" s="6">
        <v>100</v>
      </c>
      <c r="L168" s="3" t="s">
        <v>16</v>
      </c>
    </row>
    <row r="169" spans="2:12" x14ac:dyDescent="0.25">
      <c r="B169" s="9">
        <v>44347</v>
      </c>
      <c r="C169" s="5">
        <v>6</v>
      </c>
      <c r="D169" s="5">
        <v>31</v>
      </c>
      <c r="E169" s="9">
        <v>44377</v>
      </c>
      <c r="F169" s="5" t="s">
        <v>20</v>
      </c>
      <c r="G169" s="3" t="s">
        <v>15</v>
      </c>
      <c r="H169" s="3" t="s">
        <v>30</v>
      </c>
      <c r="I169" s="3"/>
      <c r="J169" s="4">
        <v>38.200000000000003</v>
      </c>
      <c r="K169" s="6">
        <v>-38.200000000000003</v>
      </c>
      <c r="L169" s="3" t="s">
        <v>16</v>
      </c>
    </row>
    <row r="170" spans="2:12" x14ac:dyDescent="0.25">
      <c r="B170" s="9">
        <v>44347</v>
      </c>
      <c r="C170" s="5">
        <v>6</v>
      </c>
      <c r="D170" s="5">
        <v>31</v>
      </c>
      <c r="E170" s="9">
        <v>44377</v>
      </c>
      <c r="F170" s="5" t="s">
        <v>20</v>
      </c>
      <c r="G170" s="3" t="s">
        <v>15</v>
      </c>
      <c r="H170" s="3" t="s">
        <v>30</v>
      </c>
      <c r="I170" s="3"/>
      <c r="J170" s="4">
        <v>15</v>
      </c>
      <c r="K170" s="6">
        <v>-15</v>
      </c>
      <c r="L170" s="3" t="s">
        <v>16</v>
      </c>
    </row>
    <row r="171" spans="2:12" x14ac:dyDescent="0.25">
      <c r="B171" s="9">
        <v>44347</v>
      </c>
      <c r="C171" s="5">
        <v>6</v>
      </c>
      <c r="D171" s="5">
        <v>31</v>
      </c>
      <c r="E171" s="9">
        <v>44377</v>
      </c>
      <c r="F171" s="5" t="s">
        <v>20</v>
      </c>
      <c r="G171" s="3" t="s">
        <v>15</v>
      </c>
      <c r="H171" s="3" t="s">
        <v>30</v>
      </c>
      <c r="I171" s="3"/>
      <c r="J171" s="4">
        <v>49.8</v>
      </c>
      <c r="K171" s="6">
        <v>-49.8</v>
      </c>
      <c r="L171" s="3" t="s">
        <v>16</v>
      </c>
    </row>
    <row r="172" spans="2:12" x14ac:dyDescent="0.25">
      <c r="B172" s="9">
        <v>44344</v>
      </c>
      <c r="C172" s="5">
        <v>6</v>
      </c>
      <c r="D172" s="5">
        <v>28</v>
      </c>
      <c r="E172" s="9">
        <v>44352</v>
      </c>
      <c r="F172" s="5" t="s">
        <v>20</v>
      </c>
      <c r="G172" s="3" t="s">
        <v>15</v>
      </c>
      <c r="H172" s="3" t="s">
        <v>30</v>
      </c>
      <c r="I172" s="3"/>
      <c r="J172" s="4">
        <v>52.5</v>
      </c>
      <c r="K172" s="6">
        <v>-52.5</v>
      </c>
      <c r="L172" s="3" t="s">
        <v>16</v>
      </c>
    </row>
    <row r="173" spans="2:12" x14ac:dyDescent="0.25">
      <c r="B173" s="9">
        <v>44344</v>
      </c>
      <c r="C173" s="5">
        <v>6</v>
      </c>
      <c r="D173" s="5">
        <v>24</v>
      </c>
      <c r="E173" s="9">
        <v>44352</v>
      </c>
      <c r="F173" s="5" t="s">
        <v>20</v>
      </c>
      <c r="G173" s="3" t="s">
        <v>14</v>
      </c>
      <c r="H173" s="3" t="s">
        <v>2</v>
      </c>
      <c r="I173" s="3" t="s">
        <v>57</v>
      </c>
      <c r="J173" s="4">
        <v>100</v>
      </c>
      <c r="K173" s="6">
        <v>100</v>
      </c>
      <c r="L173" s="3" t="s">
        <v>16</v>
      </c>
    </row>
    <row r="174" spans="2:12" x14ac:dyDescent="0.25">
      <c r="B174" s="9">
        <v>44335</v>
      </c>
      <c r="C174" s="5">
        <v>6</v>
      </c>
      <c r="D174" s="5">
        <v>21</v>
      </c>
      <c r="E174" s="9">
        <v>44352</v>
      </c>
      <c r="F174" s="5" t="s">
        <v>20</v>
      </c>
      <c r="G174" s="3" t="s">
        <v>14</v>
      </c>
      <c r="H174" s="3" t="s">
        <v>2</v>
      </c>
      <c r="I174" s="3" t="s">
        <v>57</v>
      </c>
      <c r="J174" s="4">
        <v>100</v>
      </c>
      <c r="K174" s="6">
        <v>100</v>
      </c>
      <c r="L174" s="3" t="s">
        <v>16</v>
      </c>
    </row>
    <row r="175" spans="2:12" x14ac:dyDescent="0.25">
      <c r="B175" s="9">
        <v>44335</v>
      </c>
      <c r="C175" s="5">
        <v>6</v>
      </c>
      <c r="D175" s="5">
        <v>21</v>
      </c>
      <c r="E175" s="9">
        <v>44352</v>
      </c>
      <c r="F175" s="5" t="s">
        <v>20</v>
      </c>
      <c r="G175" s="3" t="s">
        <v>14</v>
      </c>
      <c r="H175" s="3" t="s">
        <v>2</v>
      </c>
      <c r="I175" s="3" t="s">
        <v>46</v>
      </c>
      <c r="J175" s="4">
        <v>50</v>
      </c>
      <c r="K175" s="6">
        <v>50</v>
      </c>
      <c r="L175" s="3" t="s">
        <v>16</v>
      </c>
    </row>
    <row r="176" spans="2:12" x14ac:dyDescent="0.25">
      <c r="B176" s="9">
        <v>44335</v>
      </c>
      <c r="C176" s="5">
        <v>6</v>
      </c>
      <c r="D176" s="5">
        <v>22</v>
      </c>
      <c r="E176" s="9">
        <v>44352</v>
      </c>
      <c r="F176" s="5" t="s">
        <v>20</v>
      </c>
      <c r="G176" s="3" t="s">
        <v>14</v>
      </c>
      <c r="H176" s="3" t="s">
        <v>2</v>
      </c>
      <c r="I176" s="3" t="s">
        <v>45</v>
      </c>
      <c r="J176" s="4">
        <v>70</v>
      </c>
      <c r="K176" s="6">
        <v>70</v>
      </c>
      <c r="L176" s="3" t="s">
        <v>16</v>
      </c>
    </row>
    <row r="177" spans="2:12" x14ac:dyDescent="0.25">
      <c r="B177" s="9">
        <v>44336</v>
      </c>
      <c r="C177" s="5">
        <v>5</v>
      </c>
      <c r="D177" s="5">
        <v>1</v>
      </c>
      <c r="E177" s="9">
        <v>44321</v>
      </c>
      <c r="F177" s="5" t="s">
        <v>20</v>
      </c>
      <c r="G177" s="3" t="s">
        <v>15</v>
      </c>
      <c r="H177" s="3" t="s">
        <v>30</v>
      </c>
      <c r="I177" s="3"/>
      <c r="J177" s="4">
        <v>200</v>
      </c>
      <c r="K177" s="6">
        <v>-200</v>
      </c>
      <c r="L177" s="3" t="s">
        <v>16</v>
      </c>
    </row>
    <row r="178" spans="2:12" x14ac:dyDescent="0.25">
      <c r="B178" s="9">
        <v>44335</v>
      </c>
      <c r="C178" s="5">
        <v>5</v>
      </c>
      <c r="D178" s="5">
        <v>6</v>
      </c>
      <c r="E178" s="9">
        <v>44322</v>
      </c>
      <c r="F178" s="5" t="s">
        <v>20</v>
      </c>
      <c r="G178" s="3" t="s">
        <v>14</v>
      </c>
      <c r="H178" s="3" t="s">
        <v>2</v>
      </c>
      <c r="I178" s="3" t="s">
        <v>51</v>
      </c>
      <c r="J178" s="4">
        <v>100</v>
      </c>
      <c r="K178" s="6">
        <v>100</v>
      </c>
      <c r="L178" s="3" t="s">
        <v>16</v>
      </c>
    </row>
    <row r="179" spans="2:12" x14ac:dyDescent="0.25">
      <c r="B179" s="9">
        <v>44335</v>
      </c>
      <c r="C179" s="5">
        <v>5</v>
      </c>
      <c r="D179" s="5">
        <v>4</v>
      </c>
      <c r="E179" s="9">
        <v>44323</v>
      </c>
      <c r="F179" s="5" t="s">
        <v>20</v>
      </c>
      <c r="G179" s="3" t="s">
        <v>14</v>
      </c>
      <c r="H179" s="3" t="s">
        <v>2</v>
      </c>
      <c r="I179" s="3" t="s">
        <v>49</v>
      </c>
      <c r="J179" s="4">
        <v>100</v>
      </c>
      <c r="K179" s="6">
        <v>100</v>
      </c>
      <c r="L179" s="3" t="s">
        <v>16</v>
      </c>
    </row>
    <row r="180" spans="2:12" x14ac:dyDescent="0.25">
      <c r="B180" s="9">
        <v>44335</v>
      </c>
      <c r="C180" s="5">
        <v>5</v>
      </c>
      <c r="D180" s="5">
        <v>19</v>
      </c>
      <c r="E180" s="9">
        <v>44324</v>
      </c>
      <c r="F180" s="5" t="s">
        <v>13</v>
      </c>
      <c r="G180" s="3" t="s">
        <v>14</v>
      </c>
      <c r="H180" s="3" t="s">
        <v>18</v>
      </c>
      <c r="I180" s="3" t="s">
        <v>47</v>
      </c>
      <c r="J180" s="4">
        <v>20</v>
      </c>
      <c r="K180" s="6">
        <v>20</v>
      </c>
      <c r="L180" s="3" t="s">
        <v>16</v>
      </c>
    </row>
    <row r="181" spans="2:12" x14ac:dyDescent="0.25">
      <c r="B181" s="9">
        <v>44334</v>
      </c>
      <c r="C181" s="5">
        <v>5</v>
      </c>
      <c r="D181" s="5">
        <v>18</v>
      </c>
      <c r="E181" s="9">
        <v>44325</v>
      </c>
      <c r="F181" s="5" t="s">
        <v>13</v>
      </c>
      <c r="G181" s="3" t="s">
        <v>14</v>
      </c>
      <c r="H181" s="3" t="s">
        <v>18</v>
      </c>
      <c r="I181" s="3" t="s">
        <v>62</v>
      </c>
      <c r="J181" s="4">
        <v>267</v>
      </c>
      <c r="K181" s="6">
        <v>267</v>
      </c>
      <c r="L181" s="3" t="s">
        <v>16</v>
      </c>
    </row>
    <row r="182" spans="2:12" x14ac:dyDescent="0.25">
      <c r="B182" s="9">
        <v>44334</v>
      </c>
      <c r="C182" s="5">
        <v>5</v>
      </c>
      <c r="D182" s="5">
        <v>18</v>
      </c>
      <c r="E182" s="9">
        <v>44326</v>
      </c>
      <c r="F182" s="5" t="s">
        <v>13</v>
      </c>
      <c r="G182" s="3" t="s">
        <v>15</v>
      </c>
      <c r="H182" s="3" t="s">
        <v>30</v>
      </c>
      <c r="I182" s="3" t="s">
        <v>31</v>
      </c>
      <c r="J182" s="4">
        <v>410</v>
      </c>
      <c r="K182" s="6">
        <v>-410</v>
      </c>
      <c r="L182" s="3" t="s">
        <v>16</v>
      </c>
    </row>
    <row r="183" spans="2:12" x14ac:dyDescent="0.25">
      <c r="B183" s="9">
        <v>44334</v>
      </c>
      <c r="C183" s="5">
        <v>5</v>
      </c>
      <c r="D183" s="5">
        <v>18</v>
      </c>
      <c r="E183" s="9">
        <v>44327</v>
      </c>
      <c r="F183" s="5" t="s">
        <v>13</v>
      </c>
      <c r="G183" s="3" t="s">
        <v>15</v>
      </c>
      <c r="H183" s="3" t="s">
        <v>9</v>
      </c>
      <c r="I183" s="3"/>
      <c r="J183" s="4">
        <v>109.27</v>
      </c>
      <c r="K183" s="6">
        <v>-109.27</v>
      </c>
      <c r="L183" s="3" t="s">
        <v>16</v>
      </c>
    </row>
    <row r="184" spans="2:12" x14ac:dyDescent="0.25">
      <c r="B184" s="9">
        <v>44334</v>
      </c>
      <c r="C184" s="5">
        <v>5</v>
      </c>
      <c r="D184" s="5">
        <v>18</v>
      </c>
      <c r="E184" s="9">
        <v>44328</v>
      </c>
      <c r="F184" s="5" t="s">
        <v>13</v>
      </c>
      <c r="G184" s="3" t="s">
        <v>14</v>
      </c>
      <c r="H184" s="3" t="s">
        <v>18</v>
      </c>
      <c r="I184" s="3" t="s">
        <v>48</v>
      </c>
      <c r="J184" s="4">
        <v>500</v>
      </c>
      <c r="K184" s="6">
        <v>400</v>
      </c>
      <c r="L184" s="3" t="s">
        <v>16</v>
      </c>
    </row>
    <row r="185" spans="2:12" x14ac:dyDescent="0.25">
      <c r="B185" s="9">
        <v>44333</v>
      </c>
      <c r="C185" s="5">
        <v>5</v>
      </c>
      <c r="D185" s="5">
        <v>17</v>
      </c>
      <c r="E185" s="9">
        <v>44329</v>
      </c>
      <c r="F185" s="5" t="s">
        <v>13</v>
      </c>
      <c r="G185" s="3" t="s">
        <v>14</v>
      </c>
      <c r="H185" s="3" t="s">
        <v>2</v>
      </c>
      <c r="I185" s="3" t="s">
        <v>44</v>
      </c>
      <c r="J185" s="4">
        <v>50</v>
      </c>
      <c r="K185" s="6">
        <v>50</v>
      </c>
      <c r="L185" s="3" t="s">
        <v>16</v>
      </c>
    </row>
    <row r="186" spans="2:12" x14ac:dyDescent="0.25">
      <c r="B186" s="9">
        <v>44328</v>
      </c>
      <c r="C186" s="5">
        <v>5</v>
      </c>
      <c r="D186" s="5">
        <v>12</v>
      </c>
      <c r="E186" s="9">
        <v>44330</v>
      </c>
      <c r="F186" s="5" t="s">
        <v>13</v>
      </c>
      <c r="G186" s="3" t="s">
        <v>14</v>
      </c>
      <c r="H186" s="3" t="s">
        <v>18</v>
      </c>
      <c r="I186" s="3" t="s">
        <v>62</v>
      </c>
      <c r="J186" s="4">
        <v>85</v>
      </c>
      <c r="K186" s="6">
        <v>85</v>
      </c>
      <c r="L186" s="3" t="s">
        <v>16</v>
      </c>
    </row>
    <row r="187" spans="2:12" x14ac:dyDescent="0.25">
      <c r="B187" s="9">
        <v>44328</v>
      </c>
      <c r="C187" s="5">
        <v>5</v>
      </c>
      <c r="D187" s="5">
        <v>12</v>
      </c>
      <c r="E187" s="9">
        <v>44331</v>
      </c>
      <c r="F187" s="5" t="s">
        <v>13</v>
      </c>
      <c r="G187" s="3" t="s">
        <v>15</v>
      </c>
      <c r="H187" s="3" t="s">
        <v>37</v>
      </c>
      <c r="I187" s="3"/>
      <c r="J187" s="4">
        <v>85</v>
      </c>
      <c r="K187" s="6">
        <v>-85</v>
      </c>
      <c r="L187" s="3" t="s">
        <v>16</v>
      </c>
    </row>
    <row r="188" spans="2:12" x14ac:dyDescent="0.25">
      <c r="B188" s="9">
        <v>44328</v>
      </c>
      <c r="C188" s="5">
        <v>5</v>
      </c>
      <c r="D188" s="5">
        <v>12</v>
      </c>
      <c r="E188" s="9">
        <v>44332</v>
      </c>
      <c r="F188" s="5" t="s">
        <v>13</v>
      </c>
      <c r="G188" s="3" t="s">
        <v>15</v>
      </c>
      <c r="H188" s="3" t="s">
        <v>8</v>
      </c>
      <c r="I188" s="3"/>
      <c r="J188" s="4">
        <v>58.72</v>
      </c>
      <c r="K188" s="6">
        <v>-58.72</v>
      </c>
      <c r="L188" s="3" t="s">
        <v>16</v>
      </c>
    </row>
    <row r="189" spans="2:12" x14ac:dyDescent="0.25">
      <c r="B189" s="9">
        <v>44322</v>
      </c>
      <c r="C189" s="5">
        <v>5</v>
      </c>
      <c r="D189" s="5">
        <v>6</v>
      </c>
      <c r="E189" s="9">
        <v>44333</v>
      </c>
      <c r="F189" s="5" t="s">
        <v>20</v>
      </c>
      <c r="G189" s="3" t="s">
        <v>15</v>
      </c>
      <c r="H189" s="3" t="s">
        <v>7</v>
      </c>
      <c r="I189" s="3"/>
      <c r="J189" s="4">
        <v>1088.82</v>
      </c>
      <c r="K189" s="6">
        <v>-1088.82</v>
      </c>
      <c r="L189" s="3" t="s">
        <v>16</v>
      </c>
    </row>
    <row r="190" spans="2:12" x14ac:dyDescent="0.25">
      <c r="B190" s="9">
        <v>44322</v>
      </c>
      <c r="C190" s="5">
        <v>5</v>
      </c>
      <c r="D190" s="5">
        <v>6</v>
      </c>
      <c r="E190" s="9">
        <v>44334</v>
      </c>
      <c r="F190" s="5" t="s">
        <v>20</v>
      </c>
      <c r="G190" s="3" t="s">
        <v>14</v>
      </c>
      <c r="H190" s="3" t="s">
        <v>18</v>
      </c>
      <c r="I190" s="3"/>
      <c r="J190" s="4">
        <v>747</v>
      </c>
      <c r="K190" s="6">
        <v>747</v>
      </c>
      <c r="L190" s="3" t="s">
        <v>16</v>
      </c>
    </row>
    <row r="191" spans="2:12" x14ac:dyDescent="0.25">
      <c r="B191" s="9">
        <v>44322</v>
      </c>
      <c r="C191" s="5">
        <v>5</v>
      </c>
      <c r="D191" s="5">
        <v>6</v>
      </c>
      <c r="E191" s="9">
        <v>44335</v>
      </c>
      <c r="F191" s="5" t="s">
        <v>20</v>
      </c>
      <c r="G191" s="3" t="s">
        <v>14</v>
      </c>
      <c r="H191" s="3" t="s">
        <v>2</v>
      </c>
      <c r="I191" s="3" t="s">
        <v>61</v>
      </c>
      <c r="J191" s="4">
        <v>100</v>
      </c>
      <c r="K191" s="6">
        <v>100</v>
      </c>
      <c r="L191" s="3" t="s">
        <v>16</v>
      </c>
    </row>
    <row r="192" spans="2:12" x14ac:dyDescent="0.25">
      <c r="B192" s="9">
        <v>44322</v>
      </c>
      <c r="C192" s="5">
        <v>5</v>
      </c>
      <c r="D192" s="5">
        <v>6</v>
      </c>
      <c r="E192" s="9">
        <v>44336</v>
      </c>
      <c r="F192" s="5" t="s">
        <v>20</v>
      </c>
      <c r="G192" s="3" t="s">
        <v>14</v>
      </c>
      <c r="H192" s="3" t="s">
        <v>2</v>
      </c>
      <c r="I192" s="3" t="s">
        <v>48</v>
      </c>
      <c r="J192" s="4">
        <v>100</v>
      </c>
      <c r="K192" s="6">
        <v>100</v>
      </c>
      <c r="L192" s="3" t="s">
        <v>16</v>
      </c>
    </row>
    <row r="193" spans="2:12" x14ac:dyDescent="0.25">
      <c r="B193" s="9">
        <v>44322</v>
      </c>
      <c r="C193" s="5">
        <v>5</v>
      </c>
      <c r="D193" s="5">
        <v>6</v>
      </c>
      <c r="E193" s="9">
        <v>44337</v>
      </c>
      <c r="F193" s="5" t="s">
        <v>20</v>
      </c>
      <c r="G193" s="3" t="s">
        <v>14</v>
      </c>
      <c r="H193" s="3" t="s">
        <v>18</v>
      </c>
      <c r="I193" s="3" t="s">
        <v>60</v>
      </c>
      <c r="J193" s="4">
        <v>10</v>
      </c>
      <c r="K193" s="6">
        <v>10</v>
      </c>
      <c r="L193" s="3" t="s">
        <v>16</v>
      </c>
    </row>
    <row r="194" spans="2:12" x14ac:dyDescent="0.25">
      <c r="B194" s="9">
        <v>44322</v>
      </c>
      <c r="C194" s="5">
        <v>5</v>
      </c>
      <c r="D194" s="5">
        <v>6</v>
      </c>
      <c r="E194" s="9">
        <v>44338</v>
      </c>
      <c r="F194" s="5" t="s">
        <v>20</v>
      </c>
      <c r="G194" s="3" t="s">
        <v>14</v>
      </c>
      <c r="H194" s="3" t="s">
        <v>18</v>
      </c>
      <c r="I194" s="3" t="s">
        <v>52</v>
      </c>
      <c r="J194" s="4">
        <v>10</v>
      </c>
      <c r="K194" s="6">
        <v>10</v>
      </c>
      <c r="L194" s="3" t="s">
        <v>16</v>
      </c>
    </row>
    <row r="195" spans="2:12" x14ac:dyDescent="0.25">
      <c r="B195" s="9">
        <v>44322</v>
      </c>
      <c r="C195" s="5">
        <v>5</v>
      </c>
      <c r="D195" s="5">
        <v>6</v>
      </c>
      <c r="E195" s="9">
        <v>44339</v>
      </c>
      <c r="F195" s="5" t="s">
        <v>20</v>
      </c>
      <c r="G195" s="3" t="s">
        <v>14</v>
      </c>
      <c r="H195" s="3" t="s">
        <v>2</v>
      </c>
      <c r="I195" s="3" t="s">
        <v>52</v>
      </c>
      <c r="J195" s="4">
        <v>100</v>
      </c>
      <c r="K195" s="6">
        <v>100</v>
      </c>
      <c r="L195" s="3" t="s">
        <v>16</v>
      </c>
    </row>
    <row r="196" spans="2:12" x14ac:dyDescent="0.25">
      <c r="B196" s="9">
        <v>44322</v>
      </c>
      <c r="C196" s="5">
        <v>5</v>
      </c>
      <c r="D196" s="5">
        <v>6</v>
      </c>
      <c r="E196" s="9">
        <v>44340</v>
      </c>
      <c r="F196" s="5" t="s">
        <v>20</v>
      </c>
      <c r="G196" s="3" t="s">
        <v>14</v>
      </c>
      <c r="H196" s="3" t="s">
        <v>2</v>
      </c>
      <c r="I196" s="3" t="s">
        <v>60</v>
      </c>
      <c r="J196" s="4">
        <v>100</v>
      </c>
      <c r="K196" s="6">
        <v>100</v>
      </c>
      <c r="L196" s="3" t="s">
        <v>16</v>
      </c>
    </row>
    <row r="197" spans="2:12" x14ac:dyDescent="0.25">
      <c r="B197" s="9">
        <v>44306.617517939812</v>
      </c>
      <c r="C197" s="5">
        <v>5</v>
      </c>
      <c r="D197" s="5">
        <v>30</v>
      </c>
      <c r="E197" s="9">
        <v>44340</v>
      </c>
      <c r="F197" s="5" t="s">
        <v>20</v>
      </c>
      <c r="G197" s="3" t="s">
        <v>14</v>
      </c>
      <c r="H197" s="3" t="s">
        <v>2</v>
      </c>
      <c r="I197" s="3" t="s">
        <v>47</v>
      </c>
      <c r="J197" s="4">
        <v>100</v>
      </c>
      <c r="K197" s="6">
        <v>100</v>
      </c>
      <c r="L197" s="3" t="s">
        <v>16</v>
      </c>
    </row>
    <row r="198" spans="2:12" x14ac:dyDescent="0.25">
      <c r="B198" s="9">
        <v>44306.617517939812</v>
      </c>
      <c r="C198" s="5">
        <v>5</v>
      </c>
      <c r="D198" s="5">
        <v>27</v>
      </c>
      <c r="E198" s="9">
        <v>44340</v>
      </c>
      <c r="F198" s="5" t="s">
        <v>20</v>
      </c>
      <c r="G198" s="3" t="s">
        <v>15</v>
      </c>
      <c r="H198" s="3" t="s">
        <v>30</v>
      </c>
      <c r="I198" s="3" t="s">
        <v>12</v>
      </c>
      <c r="J198" s="4">
        <v>27</v>
      </c>
      <c r="K198" s="6">
        <v>-27</v>
      </c>
      <c r="L198" s="3" t="s">
        <v>16</v>
      </c>
    </row>
    <row r="199" spans="2:12" x14ac:dyDescent="0.25">
      <c r="B199" s="9">
        <v>44306.617517939812</v>
      </c>
      <c r="C199" s="5">
        <v>5</v>
      </c>
      <c r="D199" s="5">
        <v>27</v>
      </c>
      <c r="E199" s="9">
        <v>44340</v>
      </c>
      <c r="F199" s="5" t="s">
        <v>20</v>
      </c>
      <c r="G199" s="3" t="s">
        <v>14</v>
      </c>
      <c r="H199" s="3" t="s">
        <v>18</v>
      </c>
      <c r="I199" s="3" t="s">
        <v>55</v>
      </c>
      <c r="J199" s="4">
        <v>50</v>
      </c>
      <c r="K199" s="6">
        <v>50</v>
      </c>
      <c r="L199" s="3" t="s">
        <v>16</v>
      </c>
    </row>
    <row r="200" spans="2:12" x14ac:dyDescent="0.25">
      <c r="B200" s="9">
        <v>44306.617517939812</v>
      </c>
      <c r="C200" s="5">
        <v>4</v>
      </c>
      <c r="D200" s="5">
        <v>20</v>
      </c>
      <c r="E200" s="9">
        <v>44295</v>
      </c>
      <c r="F200" s="5" t="s">
        <v>13</v>
      </c>
      <c r="G200" s="3" t="s">
        <v>14</v>
      </c>
      <c r="H200" s="3" t="s">
        <v>2</v>
      </c>
      <c r="I200" s="3" t="s">
        <v>29</v>
      </c>
      <c r="J200" s="4">
        <v>50</v>
      </c>
      <c r="K200" s="6">
        <v>50</v>
      </c>
      <c r="L200" s="3" t="s">
        <v>16</v>
      </c>
    </row>
    <row r="201" spans="2:12" x14ac:dyDescent="0.25">
      <c r="B201" s="9">
        <v>44305.637060648151</v>
      </c>
      <c r="C201" s="5">
        <v>4</v>
      </c>
      <c r="D201" s="5">
        <v>19</v>
      </c>
      <c r="E201" s="9">
        <v>44296</v>
      </c>
      <c r="F201" s="5" t="s">
        <v>13</v>
      </c>
      <c r="G201" s="3" t="s">
        <v>14</v>
      </c>
      <c r="H201" s="3" t="s">
        <v>2</v>
      </c>
      <c r="I201" s="3" t="s">
        <v>55</v>
      </c>
      <c r="J201" s="4">
        <v>199.9</v>
      </c>
      <c r="K201" s="6">
        <v>199.9</v>
      </c>
      <c r="L201" s="3" t="s">
        <v>16</v>
      </c>
    </row>
    <row r="202" spans="2:12" x14ac:dyDescent="0.25">
      <c r="B202" s="9">
        <v>44299.479565740738</v>
      </c>
      <c r="C202" s="5">
        <v>4</v>
      </c>
      <c r="D202" s="5">
        <v>13</v>
      </c>
      <c r="E202" s="9">
        <v>44297</v>
      </c>
      <c r="F202" s="5" t="s">
        <v>13</v>
      </c>
      <c r="G202" s="3" t="s">
        <v>14</v>
      </c>
      <c r="H202" s="3" t="s">
        <v>2</v>
      </c>
      <c r="I202" s="3" t="s">
        <v>47</v>
      </c>
      <c r="J202" s="4">
        <v>100</v>
      </c>
      <c r="K202" s="6">
        <v>100</v>
      </c>
      <c r="L202" s="3" t="s">
        <v>16</v>
      </c>
    </row>
    <row r="203" spans="2:12" x14ac:dyDescent="0.25">
      <c r="B203" s="9">
        <v>44297.449420138888</v>
      </c>
      <c r="C203" s="5">
        <v>4</v>
      </c>
      <c r="D203" s="5">
        <v>11</v>
      </c>
      <c r="E203" s="9">
        <v>44298</v>
      </c>
      <c r="F203" s="5" t="s">
        <v>13</v>
      </c>
      <c r="G203" s="3" t="s">
        <v>15</v>
      </c>
      <c r="H203" s="3" t="s">
        <v>9</v>
      </c>
      <c r="I203" s="3" t="s">
        <v>12</v>
      </c>
      <c r="J203" s="4">
        <v>109.27</v>
      </c>
      <c r="K203" s="6">
        <v>-109.27</v>
      </c>
      <c r="L203" s="3" t="s">
        <v>16</v>
      </c>
    </row>
    <row r="204" spans="2:12" x14ac:dyDescent="0.25">
      <c r="B204" s="9">
        <v>44297.447600694446</v>
      </c>
      <c r="C204" s="5">
        <v>4</v>
      </c>
      <c r="D204" s="5">
        <v>11</v>
      </c>
      <c r="E204" s="9">
        <v>44299</v>
      </c>
      <c r="F204" s="5" t="s">
        <v>13</v>
      </c>
      <c r="G204" s="3" t="s">
        <v>14</v>
      </c>
      <c r="H204" s="3" t="s">
        <v>2</v>
      </c>
      <c r="I204" s="3" t="s">
        <v>49</v>
      </c>
      <c r="J204" s="4">
        <v>100</v>
      </c>
      <c r="K204" s="6">
        <v>100</v>
      </c>
      <c r="L204" s="3" t="s">
        <v>16</v>
      </c>
    </row>
    <row r="205" spans="2:12" x14ac:dyDescent="0.25">
      <c r="B205" s="9">
        <v>44297.447361805556</v>
      </c>
      <c r="C205" s="5">
        <v>4</v>
      </c>
      <c r="D205" s="5">
        <v>11</v>
      </c>
      <c r="E205" s="9">
        <v>44300</v>
      </c>
      <c r="F205" s="5" t="s">
        <v>13</v>
      </c>
      <c r="G205" s="3" t="s">
        <v>14</v>
      </c>
      <c r="H205" s="3" t="s">
        <v>2</v>
      </c>
      <c r="I205" s="3" t="s">
        <v>29</v>
      </c>
      <c r="J205" s="4">
        <v>100</v>
      </c>
      <c r="K205" s="6">
        <v>100</v>
      </c>
      <c r="L205" s="3" t="s">
        <v>16</v>
      </c>
    </row>
    <row r="206" spans="2:12" x14ac:dyDescent="0.25">
      <c r="B206" s="9">
        <v>44294.712696064817</v>
      </c>
      <c r="C206" s="5">
        <v>4</v>
      </c>
      <c r="D206" s="5">
        <v>8</v>
      </c>
      <c r="E206" s="9">
        <v>44301</v>
      </c>
      <c r="F206" s="5" t="s">
        <v>20</v>
      </c>
      <c r="G206" s="3" t="s">
        <v>15</v>
      </c>
      <c r="H206" s="3" t="s">
        <v>37</v>
      </c>
      <c r="I206" s="3" t="s">
        <v>12</v>
      </c>
      <c r="J206" s="4">
        <v>85</v>
      </c>
      <c r="K206" s="6">
        <v>-85</v>
      </c>
      <c r="L206" s="3" t="s">
        <v>16</v>
      </c>
    </row>
    <row r="207" spans="2:12" x14ac:dyDescent="0.25">
      <c r="B207" s="9">
        <v>44294.712537500003</v>
      </c>
      <c r="C207" s="5">
        <v>4</v>
      </c>
      <c r="D207" s="5">
        <v>8</v>
      </c>
      <c r="E207" s="9">
        <v>44302</v>
      </c>
      <c r="F207" s="5" t="s">
        <v>20</v>
      </c>
      <c r="G207" s="3" t="s">
        <v>14</v>
      </c>
      <c r="H207" s="3" t="s">
        <v>18</v>
      </c>
      <c r="I207" s="3" t="s">
        <v>62</v>
      </c>
      <c r="J207" s="4">
        <v>85</v>
      </c>
      <c r="K207" s="6">
        <v>85</v>
      </c>
      <c r="L207" s="3" t="s">
        <v>16</v>
      </c>
    </row>
    <row r="208" spans="2:12" x14ac:dyDescent="0.25">
      <c r="B208" s="9">
        <v>44292.680950000002</v>
      </c>
      <c r="C208" s="5">
        <v>4</v>
      </c>
      <c r="D208" s="5">
        <v>6</v>
      </c>
      <c r="E208" s="9">
        <v>44303</v>
      </c>
      <c r="F208" s="5" t="s">
        <v>20</v>
      </c>
      <c r="G208" s="3" t="s">
        <v>14</v>
      </c>
      <c r="H208" s="3" t="s">
        <v>2</v>
      </c>
      <c r="I208" s="3" t="s">
        <v>52</v>
      </c>
      <c r="J208" s="4">
        <v>110</v>
      </c>
      <c r="K208" s="6">
        <v>110</v>
      </c>
      <c r="L208" s="3" t="s">
        <v>16</v>
      </c>
    </row>
    <row r="209" spans="2:12" x14ac:dyDescent="0.25">
      <c r="B209" s="9">
        <v>44292.680411111112</v>
      </c>
      <c r="C209" s="5">
        <v>4</v>
      </c>
      <c r="D209" s="5">
        <v>6</v>
      </c>
      <c r="E209" s="9">
        <v>44304</v>
      </c>
      <c r="F209" s="5" t="s">
        <v>20</v>
      </c>
      <c r="G209" s="3" t="s">
        <v>14</v>
      </c>
      <c r="H209" s="3" t="s">
        <v>2</v>
      </c>
      <c r="I209" s="3" t="s">
        <v>60</v>
      </c>
      <c r="J209" s="4">
        <v>110</v>
      </c>
      <c r="K209" s="6">
        <v>110</v>
      </c>
      <c r="L209" s="3" t="s">
        <v>16</v>
      </c>
    </row>
    <row r="210" spans="2:12" x14ac:dyDescent="0.25">
      <c r="B210" s="9">
        <v>44290.838862962963</v>
      </c>
      <c r="C210" s="5">
        <v>4</v>
      </c>
      <c r="D210" s="5">
        <v>4</v>
      </c>
      <c r="E210" s="9">
        <v>44305</v>
      </c>
      <c r="F210" s="5" t="s">
        <v>20</v>
      </c>
      <c r="G210" s="3" t="s">
        <v>14</v>
      </c>
      <c r="H210" s="3" t="s">
        <v>2</v>
      </c>
      <c r="I210" s="3" t="s">
        <v>61</v>
      </c>
      <c r="J210" s="4">
        <v>135</v>
      </c>
      <c r="K210" s="6">
        <v>135</v>
      </c>
      <c r="L210" s="3" t="s">
        <v>16</v>
      </c>
    </row>
    <row r="211" spans="2:12" x14ac:dyDescent="0.25">
      <c r="B211" s="9">
        <v>44290.836237037038</v>
      </c>
      <c r="C211" s="5">
        <v>4</v>
      </c>
      <c r="D211" s="5">
        <v>4</v>
      </c>
      <c r="E211" s="9">
        <v>44306</v>
      </c>
      <c r="F211" s="5" t="s">
        <v>20</v>
      </c>
      <c r="G211" s="3" t="s">
        <v>14</v>
      </c>
      <c r="H211" s="3" t="s">
        <v>2</v>
      </c>
      <c r="I211" s="3" t="s">
        <v>48</v>
      </c>
      <c r="J211" s="4">
        <v>75</v>
      </c>
      <c r="K211" s="6">
        <v>75</v>
      </c>
      <c r="L211" s="3" t="s">
        <v>16</v>
      </c>
    </row>
    <row r="212" spans="2:12" x14ac:dyDescent="0.25">
      <c r="B212" s="9">
        <v>44289.720984722226</v>
      </c>
      <c r="C212" s="5">
        <v>4</v>
      </c>
      <c r="D212" s="5">
        <v>3</v>
      </c>
      <c r="E212" s="9">
        <v>44307</v>
      </c>
      <c r="F212" s="5" t="s">
        <v>20</v>
      </c>
      <c r="G212" s="3" t="s">
        <v>14</v>
      </c>
      <c r="H212" s="3" t="s">
        <v>2</v>
      </c>
      <c r="I212" s="3" t="s">
        <v>59</v>
      </c>
      <c r="J212" s="4">
        <v>50</v>
      </c>
      <c r="K212" s="6">
        <v>50</v>
      </c>
      <c r="L212" s="3" t="s">
        <v>16</v>
      </c>
    </row>
    <row r="213" spans="2:12" x14ac:dyDescent="0.25">
      <c r="B213" s="9">
        <v>44288.83443333333</v>
      </c>
      <c r="C213" s="5">
        <v>4</v>
      </c>
      <c r="D213" s="5">
        <v>2</v>
      </c>
      <c r="E213" s="9">
        <v>44308</v>
      </c>
      <c r="F213" s="5" t="s">
        <v>20</v>
      </c>
      <c r="G213" s="3" t="s">
        <v>15</v>
      </c>
      <c r="H213" s="3" t="s">
        <v>8</v>
      </c>
      <c r="I213" s="3" t="s">
        <v>12</v>
      </c>
      <c r="J213" s="4">
        <v>58.83</v>
      </c>
      <c r="K213" s="6">
        <v>-58.83</v>
      </c>
      <c r="L213" s="3" t="s">
        <v>16</v>
      </c>
    </row>
    <row r="214" spans="2:12" x14ac:dyDescent="0.25">
      <c r="B214" s="9">
        <v>44288.833476273147</v>
      </c>
      <c r="C214" s="5">
        <v>4</v>
      </c>
      <c r="D214" s="5">
        <v>2</v>
      </c>
      <c r="E214" s="9">
        <v>44309</v>
      </c>
      <c r="F214" s="5" t="s">
        <v>20</v>
      </c>
      <c r="G214" s="3" t="s">
        <v>15</v>
      </c>
      <c r="H214" s="3" t="s">
        <v>7</v>
      </c>
      <c r="I214" s="3" t="s">
        <v>12</v>
      </c>
      <c r="J214" s="4">
        <v>1088.8</v>
      </c>
      <c r="K214" s="6">
        <v>-1088.8</v>
      </c>
      <c r="L214" s="3" t="s">
        <v>16</v>
      </c>
    </row>
    <row r="215" spans="2:12" x14ac:dyDescent="0.25">
      <c r="B215" s="9">
        <v>44289</v>
      </c>
      <c r="C215" s="5">
        <v>3</v>
      </c>
      <c r="D215" s="5">
        <v>30</v>
      </c>
      <c r="E215" s="9">
        <v>44310</v>
      </c>
      <c r="F215" s="5" t="s">
        <v>20</v>
      </c>
      <c r="G215" s="3" t="s">
        <v>14</v>
      </c>
      <c r="H215" s="3" t="s">
        <v>18</v>
      </c>
      <c r="I215" s="3"/>
      <c r="J215" s="4">
        <v>553.96</v>
      </c>
      <c r="K215" s="6">
        <v>553.96</v>
      </c>
      <c r="L215" s="3" t="s">
        <v>16</v>
      </c>
    </row>
    <row r="216" spans="2:12" x14ac:dyDescent="0.25">
      <c r="B216" s="9">
        <v>44290</v>
      </c>
      <c r="C216" s="5">
        <v>3</v>
      </c>
      <c r="D216" s="5">
        <v>30</v>
      </c>
      <c r="E216" s="9">
        <v>44311</v>
      </c>
      <c r="F216" s="5" t="s">
        <v>20</v>
      </c>
      <c r="G216" s="3" t="s">
        <v>14</v>
      </c>
      <c r="H216" s="3" t="s">
        <v>2</v>
      </c>
      <c r="I216" s="3" t="s">
        <v>62</v>
      </c>
      <c r="J216" s="4">
        <v>200</v>
      </c>
      <c r="K216" s="6">
        <v>200</v>
      </c>
      <c r="L216" s="3" t="s">
        <v>16</v>
      </c>
    </row>
    <row r="217" spans="2:12" x14ac:dyDescent="0.25">
      <c r="B217" s="9">
        <v>44291</v>
      </c>
      <c r="C217" s="5">
        <v>3</v>
      </c>
      <c r="D217" s="5">
        <v>26</v>
      </c>
      <c r="E217" s="9">
        <v>44312</v>
      </c>
      <c r="F217" s="5" t="s">
        <v>20</v>
      </c>
      <c r="G217" s="3" t="s">
        <v>14</v>
      </c>
      <c r="H217" s="3" t="s">
        <v>2</v>
      </c>
      <c r="I217" s="3" t="s">
        <v>57</v>
      </c>
      <c r="J217" s="4">
        <v>120</v>
      </c>
      <c r="K217" s="6">
        <v>120</v>
      </c>
      <c r="L217" s="3" t="s">
        <v>16</v>
      </c>
    </row>
    <row r="218" spans="2:12" x14ac:dyDescent="0.25">
      <c r="B218" s="9">
        <v>44292</v>
      </c>
      <c r="C218" s="5">
        <v>3</v>
      </c>
      <c r="D218" s="5">
        <v>26</v>
      </c>
      <c r="E218" s="9">
        <v>44313</v>
      </c>
      <c r="F218" s="5" t="s">
        <v>20</v>
      </c>
      <c r="G218" s="3" t="s">
        <v>14</v>
      </c>
      <c r="H218" s="3" t="s">
        <v>18</v>
      </c>
      <c r="I218" s="3" t="s">
        <v>48</v>
      </c>
      <c r="J218" s="4">
        <v>100</v>
      </c>
      <c r="K218" s="6">
        <v>100</v>
      </c>
      <c r="L218" s="3" t="s">
        <v>16</v>
      </c>
    </row>
  </sheetData>
  <phoneticPr fontId="4" type="noConversion"/>
  <dataValidations count="2">
    <dataValidation type="list" allowBlank="1" showInputMessage="1" showErrorMessage="1" sqref="H6:H218" xr:uid="{2DA6F4DB-DF8E-4925-BBAF-4E0B0AB9AB9D}">
      <formula1>IF($G6="Receita",RECEITAS,DESPESAS)</formula1>
    </dataValidation>
    <dataValidation type="list" allowBlank="1" showInputMessage="1" showErrorMessage="1" sqref="I6:I218" xr:uid="{D9D025CB-6596-472E-AA83-2C510159AAE7}">
      <formula1>MEMBROS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B3461-AC1F-4771-9FE6-2CE0025DF9DD}">
  <sheetPr codeName="Planilha4"/>
  <dimension ref="A2:D29"/>
  <sheetViews>
    <sheetView workbookViewId="0">
      <selection activeCell="B29" sqref="B29"/>
    </sheetView>
  </sheetViews>
  <sheetFormatPr defaultRowHeight="15" x14ac:dyDescent="0.25"/>
  <cols>
    <col min="3" max="3" width="10.28515625" bestFit="1" customWidth="1"/>
  </cols>
  <sheetData>
    <row r="2" spans="1:4" x14ac:dyDescent="0.25">
      <c r="A2" t="s">
        <v>33</v>
      </c>
      <c r="B2" t="s">
        <v>11</v>
      </c>
      <c r="C2" t="s">
        <v>34</v>
      </c>
    </row>
    <row r="3" spans="1:4" x14ac:dyDescent="0.25">
      <c r="A3">
        <f>10</f>
        <v>10</v>
      </c>
      <c r="B3" t="s">
        <v>38</v>
      </c>
      <c r="C3" s="10" t="str">
        <f>IF(SUMIFS(Extrato[[ Valor ]],Extrato[MÊS],Relatório_Mensalidade!$A$3,Extrato[Tipo],"Mensalidade",Extrato[Nome],Relatório_Mensalidade!B3)&lt;&gt;0,"Sim","Não")</f>
        <v>Não</v>
      </c>
      <c r="D3" t="s">
        <v>38</v>
      </c>
    </row>
    <row r="4" spans="1:4" x14ac:dyDescent="0.25">
      <c r="B4" t="s">
        <v>39</v>
      </c>
      <c r="C4" s="10" t="str">
        <f>IF(SUMIFS(Extrato[[ Valor ]],Extrato[MÊS],Relatório_Mensalidade!$A$3,Extrato[Tipo],"Mensalidade",Extrato[Nome],Relatório_Mensalidade!B4)&lt;&gt;0,"Sim","Não")</f>
        <v>Não</v>
      </c>
      <c r="D4" t="s">
        <v>39</v>
      </c>
    </row>
    <row r="5" spans="1:4" x14ac:dyDescent="0.25">
      <c r="B5" t="s">
        <v>40</v>
      </c>
      <c r="C5" s="10" t="str">
        <f>IF(SUMIFS(Extrato[[ Valor ]],Extrato[MÊS],Relatório_Mensalidade!$A$3,Extrato[Tipo],"Mensalidade",Extrato[Nome],Relatório_Mensalidade!B5)&lt;&gt;0,"Sim","Não")</f>
        <v>Não</v>
      </c>
      <c r="D5" t="s">
        <v>40</v>
      </c>
    </row>
    <row r="6" spans="1:4" x14ac:dyDescent="0.25">
      <c r="B6" t="s">
        <v>41</v>
      </c>
      <c r="C6" s="10" t="str">
        <f>IF(SUMIFS(Extrato[[ Valor ]],Extrato[MÊS],Relatório_Mensalidade!$A$3,Extrato[Tipo],"Mensalidade",Extrato[Nome],Relatório_Mensalidade!B6)&lt;&gt;0,"Sim","Não")</f>
        <v>Não</v>
      </c>
      <c r="D6" t="s">
        <v>41</v>
      </c>
    </row>
    <row r="7" spans="1:4" x14ac:dyDescent="0.25">
      <c r="B7" t="s">
        <v>42</v>
      </c>
      <c r="C7" s="10" t="str">
        <f>IF(SUMIFS(Extrato[[ Valor ]],Extrato[MÊS],Relatório_Mensalidade!$A$3,Extrato[Tipo],"Mensalidade",Extrato[Nome],Relatório_Mensalidade!B7)&lt;&gt;0,"Sim","Não")</f>
        <v>Não</v>
      </c>
      <c r="D7" t="s">
        <v>42</v>
      </c>
    </row>
    <row r="8" spans="1:4" x14ac:dyDescent="0.25">
      <c r="B8" t="s">
        <v>43</v>
      </c>
      <c r="C8" s="10" t="str">
        <f>IF(SUMIFS(Extrato[[ Valor ]],Extrato[MÊS],Relatório_Mensalidade!$A$3,Extrato[Tipo],"Mensalidade",Extrato[Nome],Relatório_Mensalidade!B8)&lt;&gt;0,"Sim","Não")</f>
        <v>Sim</v>
      </c>
      <c r="D8" t="s">
        <v>43</v>
      </c>
    </row>
    <row r="9" spans="1:4" x14ac:dyDescent="0.25">
      <c r="B9" t="s">
        <v>44</v>
      </c>
      <c r="C9" s="10" t="str">
        <f>IF(SUMIFS(Extrato[[ Valor ]],Extrato[MÊS],Relatório_Mensalidade!$A$3,Extrato[Tipo],"Mensalidade",Extrato[Nome],Relatório_Mensalidade!B9)&lt;&gt;0,"Sim","Não")</f>
        <v>Não</v>
      </c>
      <c r="D9" t="s">
        <v>44</v>
      </c>
    </row>
    <row r="10" spans="1:4" x14ac:dyDescent="0.25">
      <c r="B10" t="s">
        <v>45</v>
      </c>
      <c r="C10" s="10" t="str">
        <f>IF(SUMIFS(Extrato[[ Valor ]],Extrato[MÊS],Relatório_Mensalidade!$A$3,Extrato[Tipo],"Mensalidade",Extrato[Nome],Relatório_Mensalidade!B10)&lt;&gt;0,"Sim","Não")</f>
        <v>Sim</v>
      </c>
      <c r="D10" t="s">
        <v>45</v>
      </c>
    </row>
    <row r="11" spans="1:4" x14ac:dyDescent="0.25">
      <c r="B11" t="s">
        <v>46</v>
      </c>
      <c r="C11" s="10" t="str">
        <f>IF(SUMIFS(Extrato[[ Valor ]],Extrato[MÊS],Relatório_Mensalidade!$A$3,Extrato[Tipo],"Mensalidade",Extrato[Nome],Relatório_Mensalidade!B11)&lt;&gt;0,"Sim","Não")</f>
        <v>Sim</v>
      </c>
      <c r="D11" t="s">
        <v>46</v>
      </c>
    </row>
    <row r="12" spans="1:4" x14ac:dyDescent="0.25">
      <c r="B12" t="s">
        <v>47</v>
      </c>
      <c r="C12" s="10" t="str">
        <f>IF(SUMIFS(Extrato[[ Valor ]],Extrato[MÊS],Relatório_Mensalidade!$A$3,Extrato[Tipo],"Mensalidade",Extrato[Nome],Relatório_Mensalidade!B12)&lt;&gt;0,"Sim","Não")</f>
        <v>Sim</v>
      </c>
      <c r="D12" t="s">
        <v>47</v>
      </c>
    </row>
    <row r="13" spans="1:4" x14ac:dyDescent="0.25">
      <c r="B13" t="s">
        <v>48</v>
      </c>
      <c r="C13" s="10" t="str">
        <f>IF(SUMIFS(Extrato[[ Valor ]],Extrato[MÊS],Relatório_Mensalidade!$A$3,Extrato[Tipo],"Mensalidade",Extrato[Nome],Relatório_Mensalidade!B13)&lt;&gt;0,"Sim","Não")</f>
        <v>Sim</v>
      </c>
      <c r="D13" t="s">
        <v>48</v>
      </c>
    </row>
    <row r="14" spans="1:4" x14ac:dyDescent="0.25">
      <c r="B14" t="s">
        <v>49</v>
      </c>
      <c r="C14" s="10" t="str">
        <f>IF(SUMIFS(Extrato[[ Valor ]],Extrato[MÊS],Relatório_Mensalidade!$A$3,Extrato[Tipo],"Mensalidade",Extrato[Nome],Relatório_Mensalidade!B14)&lt;&gt;0,"Sim","Não")</f>
        <v>Sim</v>
      </c>
      <c r="D14" t="s">
        <v>49</v>
      </c>
    </row>
    <row r="15" spans="1:4" x14ac:dyDescent="0.25">
      <c r="B15" t="s">
        <v>50</v>
      </c>
      <c r="C15" s="10" t="str">
        <f>IF(SUMIFS(Extrato[[ Valor ]],Extrato[MÊS],Relatório_Mensalidade!$A$3,Extrato[Tipo],"Mensalidade",Extrato[Nome],Relatório_Mensalidade!B15)&lt;&gt;0,"Sim","Não")</f>
        <v>Sim</v>
      </c>
      <c r="D15" t="s">
        <v>50</v>
      </c>
    </row>
    <row r="16" spans="1:4" x14ac:dyDescent="0.25">
      <c r="B16" t="s">
        <v>51</v>
      </c>
      <c r="C16" s="10" t="str">
        <f>IF(SUMIFS(Extrato[[ Valor ]],Extrato[MÊS],Relatório_Mensalidade!$A$3,Extrato[Tipo],"Mensalidade",Extrato[Nome],Relatório_Mensalidade!B16)&lt;&gt;0,"Sim","Não")</f>
        <v>Não</v>
      </c>
      <c r="D16" t="s">
        <v>51</v>
      </c>
    </row>
    <row r="17" spans="2:4" x14ac:dyDescent="0.25">
      <c r="B17" t="s">
        <v>52</v>
      </c>
      <c r="C17" s="10" t="str">
        <f>IF(SUMIFS(Extrato[[ Valor ]],Extrato[MÊS],Relatório_Mensalidade!$A$3,Extrato[Tipo],"Mensalidade",Extrato[Nome],Relatório_Mensalidade!B17)&lt;&gt;0,"Sim","Não")</f>
        <v>Sim</v>
      </c>
      <c r="D17" t="s">
        <v>52</v>
      </c>
    </row>
    <row r="18" spans="2:4" x14ac:dyDescent="0.25">
      <c r="B18" t="s">
        <v>53</v>
      </c>
      <c r="C18" s="10" t="str">
        <f>IF(SUMIFS(Extrato[[ Valor ]],Extrato[MÊS],Relatório_Mensalidade!$A$3,Extrato[Tipo],"Mensalidade",Extrato[Nome],Relatório_Mensalidade!B18)&lt;&gt;0,"Sim","Não")</f>
        <v>Não</v>
      </c>
      <c r="D18" t="s">
        <v>53</v>
      </c>
    </row>
    <row r="19" spans="2:4" x14ac:dyDescent="0.25">
      <c r="B19" t="s">
        <v>54</v>
      </c>
      <c r="C19" s="10" t="str">
        <f>IF(SUMIFS(Extrato[[ Valor ]],Extrato[MÊS],Relatório_Mensalidade!$A$3,Extrato[Tipo],"Mensalidade",Extrato[Nome],Relatório_Mensalidade!B19)&lt;&gt;0,"Sim","Não")</f>
        <v>Sim</v>
      </c>
      <c r="D19" t="s">
        <v>54</v>
      </c>
    </row>
    <row r="20" spans="2:4" x14ac:dyDescent="0.25">
      <c r="B20" t="s">
        <v>55</v>
      </c>
      <c r="C20" s="10" t="str">
        <f>IF(SUMIFS(Extrato[[ Valor ]],Extrato[MÊS],Relatório_Mensalidade!$A$3,Extrato[Tipo],"Mensalidade",Extrato[Nome],Relatório_Mensalidade!B20)&lt;&gt;0,"Sim","Não")</f>
        <v>Sim</v>
      </c>
      <c r="D20" t="s">
        <v>55</v>
      </c>
    </row>
    <row r="21" spans="2:4" x14ac:dyDescent="0.25">
      <c r="B21" t="s">
        <v>56</v>
      </c>
      <c r="C21" s="10" t="str">
        <f>IF(SUMIFS(Extrato[[ Valor ]],Extrato[MÊS],Relatório_Mensalidade!$A$3,Extrato[Tipo],"Mensalidade",Extrato[Nome],Relatório_Mensalidade!B21)&lt;&gt;0,"Sim","Não")</f>
        <v>Não</v>
      </c>
      <c r="D21" t="s">
        <v>56</v>
      </c>
    </row>
    <row r="22" spans="2:4" x14ac:dyDescent="0.25">
      <c r="B22" t="s">
        <v>57</v>
      </c>
      <c r="C22" s="10" t="str">
        <f>IF(SUMIFS(Extrato[[ Valor ]],Extrato[MÊS],Relatório_Mensalidade!$A$3,Extrato[Tipo],"Mensalidade",Extrato[Nome],Relatório_Mensalidade!B22)&lt;&gt;0,"Sim","Não")</f>
        <v>Sim</v>
      </c>
      <c r="D22" t="s">
        <v>57</v>
      </c>
    </row>
    <row r="23" spans="2:4" x14ac:dyDescent="0.25">
      <c r="B23" t="s">
        <v>58</v>
      </c>
      <c r="C23" s="10" t="str">
        <f>IF(SUMIFS(Extrato[[ Valor ]],Extrato[MÊS],Relatório_Mensalidade!$A$3,Extrato[Tipo],"Mensalidade",Extrato[Nome],Relatório_Mensalidade!B23)&lt;&gt;0,"Sim","Não")</f>
        <v>Sim</v>
      </c>
      <c r="D23" t="s">
        <v>58</v>
      </c>
    </row>
    <row r="24" spans="2:4" x14ac:dyDescent="0.25">
      <c r="B24" t="s">
        <v>59</v>
      </c>
      <c r="C24" s="10" t="str">
        <f>IF(SUMIFS(Extrato[[ Valor ]],Extrato[MÊS],Relatório_Mensalidade!$A$3,Extrato[Tipo],"Mensalidade",Extrato[Nome],Relatório_Mensalidade!B24)&lt;&gt;0,"Sim","Não")</f>
        <v>Não</v>
      </c>
      <c r="D24" t="s">
        <v>59</v>
      </c>
    </row>
    <row r="25" spans="2:4" x14ac:dyDescent="0.25">
      <c r="B25" t="s">
        <v>60</v>
      </c>
      <c r="C25" s="10" t="str">
        <f>IF(SUMIFS(Extrato[[ Valor ]],Extrato[MÊS],Relatório_Mensalidade!$A$3,Extrato[Tipo],"Mensalidade",Extrato[Nome],Relatório_Mensalidade!B25)&lt;&gt;0,"Sim","Não")</f>
        <v>Não</v>
      </c>
      <c r="D25" t="s">
        <v>60</v>
      </c>
    </row>
    <row r="26" spans="2:4" x14ac:dyDescent="0.25">
      <c r="B26" t="s">
        <v>61</v>
      </c>
      <c r="C26" s="10" t="str">
        <f>IF(SUMIFS(Extrato[[ Valor ]],Extrato[MÊS],Relatório_Mensalidade!$A$3,Extrato[Tipo],"Mensalidade",Extrato[Nome],Relatório_Mensalidade!B26)&lt;&gt;0,"Sim","Não")</f>
        <v>Não</v>
      </c>
      <c r="D26" t="s">
        <v>61</v>
      </c>
    </row>
    <row r="27" spans="2:4" x14ac:dyDescent="0.25">
      <c r="B27" t="s">
        <v>62</v>
      </c>
      <c r="C27" s="10" t="str">
        <f>IF(SUMIFS(Extrato[[ Valor ]],Extrato[MÊS],Relatório_Mensalidade!$A$3,Extrato[Tipo],"Mensalidade",Extrato[Nome],Relatório_Mensalidade!B27)&lt;&gt;0,"Sim","Não")</f>
        <v>Sim</v>
      </c>
      <c r="D27" t="s">
        <v>62</v>
      </c>
    </row>
    <row r="28" spans="2:4" x14ac:dyDescent="0.25">
      <c r="B28" t="s">
        <v>63</v>
      </c>
      <c r="C28" s="10" t="str">
        <f>IF(SUMIFS(Extrato[[ Valor ]],Extrato[MÊS],Relatório_Mensalidade!$A$3,Extrato[Tipo],"Mensalidade",Extrato[Nome],Relatório_Mensalidade!B28)&lt;&gt;0,"Sim","Não")</f>
        <v>Sim</v>
      </c>
      <c r="D28" t="s">
        <v>63</v>
      </c>
    </row>
    <row r="29" spans="2:4" x14ac:dyDescent="0.25">
      <c r="B29" t="s">
        <v>64</v>
      </c>
      <c r="C29" s="10" t="str">
        <f>IF(SUMIFS(Extrato[[ Valor ]],Extrato[MÊS],Relatório_Mensalidade!$A$3,Extrato[Tipo],"Mensalidade",Extrato[Nome],Relatório_Mensalidade!B29)&lt;&gt;0,"Sim","Não")</f>
        <v>Não</v>
      </c>
      <c r="D29" t="s">
        <v>64</v>
      </c>
    </row>
  </sheetData>
  <sortState xmlns:xlrd2="http://schemas.microsoft.com/office/spreadsheetml/2017/richdata2" ref="B3:B29">
    <sortCondition ref="B3:B29"/>
  </sortState>
  <phoneticPr fontId="4" type="noConversion"/>
  <conditionalFormatting sqref="C3:C29">
    <cfRule type="cellIs" dxfId="1" priority="3" operator="equal">
      <formula>"Sim"</formula>
    </cfRule>
    <cfRule type="cellIs" dxfId="0" priority="4" operator="equal">
      <formula>"Não"</formula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BFA97-9312-43C5-9D69-F8D35818BD99}">
  <sheetPr codeName="Planilha3"/>
  <dimension ref="A1:C28"/>
  <sheetViews>
    <sheetView workbookViewId="0">
      <selection activeCell="I17" sqref="I17"/>
    </sheetView>
  </sheetViews>
  <sheetFormatPr defaultColWidth="19" defaultRowHeight="15" x14ac:dyDescent="0.25"/>
  <cols>
    <col min="1" max="1" width="9.28515625" bestFit="1" customWidth="1"/>
    <col min="2" max="2" width="12.42578125" bestFit="1" customWidth="1"/>
    <col min="3" max="3" width="12.140625" style="8" bestFit="1" customWidth="1"/>
  </cols>
  <sheetData>
    <row r="1" spans="1:3" x14ac:dyDescent="0.25">
      <c r="A1" t="s">
        <v>24</v>
      </c>
      <c r="B1" t="s">
        <v>26</v>
      </c>
      <c r="C1" s="8" t="s">
        <v>27</v>
      </c>
    </row>
    <row r="2" spans="1:3" x14ac:dyDescent="0.25">
      <c r="A2" t="s">
        <v>38</v>
      </c>
      <c r="B2" t="s">
        <v>2</v>
      </c>
      <c r="C2" s="8">
        <v>100</v>
      </c>
    </row>
    <row r="3" spans="1:3" x14ac:dyDescent="0.25">
      <c r="A3" t="s">
        <v>39</v>
      </c>
      <c r="B3" t="s">
        <v>2</v>
      </c>
      <c r="C3" s="8">
        <v>100</v>
      </c>
    </row>
    <row r="4" spans="1:3" x14ac:dyDescent="0.25">
      <c r="A4" t="s">
        <v>40</v>
      </c>
      <c r="B4" t="s">
        <v>2</v>
      </c>
      <c r="C4" s="8">
        <v>100</v>
      </c>
    </row>
    <row r="5" spans="1:3" x14ac:dyDescent="0.25">
      <c r="A5" t="s">
        <v>41</v>
      </c>
      <c r="B5" t="s">
        <v>2</v>
      </c>
      <c r="C5" s="8">
        <v>100</v>
      </c>
    </row>
    <row r="6" spans="1:3" x14ac:dyDescent="0.25">
      <c r="A6" t="s">
        <v>42</v>
      </c>
      <c r="B6" t="s">
        <v>2</v>
      </c>
      <c r="C6" s="8">
        <v>100</v>
      </c>
    </row>
    <row r="7" spans="1:3" x14ac:dyDescent="0.25">
      <c r="A7" t="s">
        <v>43</v>
      </c>
      <c r="B7" t="s">
        <v>2</v>
      </c>
      <c r="C7" s="8">
        <v>100</v>
      </c>
    </row>
    <row r="8" spans="1:3" x14ac:dyDescent="0.25">
      <c r="A8" t="s">
        <v>44</v>
      </c>
      <c r="B8" t="s">
        <v>2</v>
      </c>
      <c r="C8" s="8">
        <v>100</v>
      </c>
    </row>
    <row r="9" spans="1:3" x14ac:dyDescent="0.25">
      <c r="A9" t="s">
        <v>45</v>
      </c>
      <c r="B9" t="s">
        <v>2</v>
      </c>
      <c r="C9" s="8">
        <v>100</v>
      </c>
    </row>
    <row r="10" spans="1:3" x14ac:dyDescent="0.25">
      <c r="A10" t="s">
        <v>46</v>
      </c>
      <c r="B10" t="s">
        <v>2</v>
      </c>
      <c r="C10" s="8">
        <v>100</v>
      </c>
    </row>
    <row r="11" spans="1:3" x14ac:dyDescent="0.25">
      <c r="A11" t="s">
        <v>47</v>
      </c>
      <c r="B11" t="s">
        <v>2</v>
      </c>
      <c r="C11" s="8">
        <v>100</v>
      </c>
    </row>
    <row r="12" spans="1:3" x14ac:dyDescent="0.25">
      <c r="A12" t="s">
        <v>48</v>
      </c>
      <c r="B12" t="s">
        <v>2</v>
      </c>
      <c r="C12" s="8">
        <v>100</v>
      </c>
    </row>
    <row r="13" spans="1:3" x14ac:dyDescent="0.25">
      <c r="A13" t="s">
        <v>49</v>
      </c>
      <c r="B13" t="s">
        <v>2</v>
      </c>
      <c r="C13" s="8">
        <v>100</v>
      </c>
    </row>
    <row r="14" spans="1:3" x14ac:dyDescent="0.25">
      <c r="A14" t="s">
        <v>50</v>
      </c>
      <c r="B14" t="s">
        <v>2</v>
      </c>
      <c r="C14" s="8">
        <v>100</v>
      </c>
    </row>
    <row r="15" spans="1:3" x14ac:dyDescent="0.25">
      <c r="A15" t="s">
        <v>51</v>
      </c>
      <c r="B15" t="s">
        <v>2</v>
      </c>
      <c r="C15" s="8">
        <v>100</v>
      </c>
    </row>
    <row r="16" spans="1:3" x14ac:dyDescent="0.25">
      <c r="A16" t="s">
        <v>52</v>
      </c>
      <c r="B16" t="s">
        <v>2</v>
      </c>
      <c r="C16" s="8">
        <v>100</v>
      </c>
    </row>
    <row r="17" spans="1:3" x14ac:dyDescent="0.25">
      <c r="A17" t="s">
        <v>53</v>
      </c>
      <c r="B17" t="s">
        <v>2</v>
      </c>
      <c r="C17" s="8">
        <v>100</v>
      </c>
    </row>
    <row r="18" spans="1:3" x14ac:dyDescent="0.25">
      <c r="A18" t="s">
        <v>54</v>
      </c>
      <c r="B18" t="s">
        <v>2</v>
      </c>
      <c r="C18" s="8">
        <v>100</v>
      </c>
    </row>
    <row r="19" spans="1:3" x14ac:dyDescent="0.25">
      <c r="A19" t="s">
        <v>55</v>
      </c>
      <c r="B19" t="s">
        <v>2</v>
      </c>
      <c r="C19" s="8">
        <v>100</v>
      </c>
    </row>
    <row r="20" spans="1:3" x14ac:dyDescent="0.25">
      <c r="A20" t="s">
        <v>56</v>
      </c>
      <c r="B20" t="s">
        <v>2</v>
      </c>
      <c r="C20" s="8">
        <v>100</v>
      </c>
    </row>
    <row r="21" spans="1:3" x14ac:dyDescent="0.25">
      <c r="A21" t="s">
        <v>57</v>
      </c>
      <c r="B21" t="s">
        <v>2</v>
      </c>
      <c r="C21" s="8">
        <v>100</v>
      </c>
    </row>
    <row r="22" spans="1:3" x14ac:dyDescent="0.25">
      <c r="A22" t="s">
        <v>58</v>
      </c>
      <c r="B22" t="s">
        <v>2</v>
      </c>
      <c r="C22" s="8">
        <v>100</v>
      </c>
    </row>
    <row r="23" spans="1:3" x14ac:dyDescent="0.25">
      <c r="A23" t="s">
        <v>59</v>
      </c>
      <c r="B23" t="s">
        <v>2</v>
      </c>
      <c r="C23" s="8">
        <v>100</v>
      </c>
    </row>
    <row r="24" spans="1:3" x14ac:dyDescent="0.25">
      <c r="A24" t="s">
        <v>60</v>
      </c>
      <c r="B24" t="s">
        <v>2</v>
      </c>
      <c r="C24" s="8">
        <v>100</v>
      </c>
    </row>
    <row r="25" spans="1:3" x14ac:dyDescent="0.25">
      <c r="A25" t="s">
        <v>61</v>
      </c>
      <c r="B25" t="s">
        <v>2</v>
      </c>
      <c r="C25" s="8">
        <v>100</v>
      </c>
    </row>
    <row r="26" spans="1:3" x14ac:dyDescent="0.25">
      <c r="A26" t="s">
        <v>62</v>
      </c>
      <c r="B26" t="s">
        <v>2</v>
      </c>
      <c r="C26" s="8">
        <v>100</v>
      </c>
    </row>
    <row r="27" spans="1:3" x14ac:dyDescent="0.25">
      <c r="A27" t="s">
        <v>63</v>
      </c>
      <c r="B27" t="s">
        <v>2</v>
      </c>
      <c r="C27" s="8">
        <v>100</v>
      </c>
    </row>
    <row r="28" spans="1:3" x14ac:dyDescent="0.25">
      <c r="A28" t="s">
        <v>64</v>
      </c>
      <c r="B28" t="s">
        <v>2</v>
      </c>
      <c r="C28" s="8">
        <v>100</v>
      </c>
    </row>
  </sheetData>
  <sortState xmlns:xlrd2="http://schemas.microsoft.com/office/spreadsheetml/2017/richdata2" ref="A2:A28">
    <sortCondition ref="A2:A28"/>
  </sortState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57864-E4E2-456B-8555-26EE9C6C3460}">
  <sheetPr codeName="Planilha1"/>
  <dimension ref="A1:B11"/>
  <sheetViews>
    <sheetView workbookViewId="0">
      <selection activeCell="H14" sqref="H14"/>
    </sheetView>
  </sheetViews>
  <sheetFormatPr defaultRowHeight="15" x14ac:dyDescent="0.25"/>
  <sheetData>
    <row r="1" spans="1:2" x14ac:dyDescent="0.25">
      <c r="A1" t="s">
        <v>24</v>
      </c>
      <c r="B1" t="s">
        <v>25</v>
      </c>
    </row>
    <row r="2" spans="1:2" x14ac:dyDescent="0.25">
      <c r="A2" t="s">
        <v>2</v>
      </c>
      <c r="B2" t="s">
        <v>3</v>
      </c>
    </row>
    <row r="3" spans="1:2" x14ac:dyDescent="0.25">
      <c r="A3" t="s">
        <v>18</v>
      </c>
      <c r="B3" t="s">
        <v>3</v>
      </c>
    </row>
    <row r="4" spans="1:2" x14ac:dyDescent="0.25">
      <c r="A4" t="s">
        <v>10</v>
      </c>
      <c r="B4" t="s">
        <v>3</v>
      </c>
    </row>
    <row r="5" spans="1:2" x14ac:dyDescent="0.25">
      <c r="A5" t="s">
        <v>7</v>
      </c>
      <c r="B5" t="s">
        <v>4</v>
      </c>
    </row>
    <row r="6" spans="1:2" x14ac:dyDescent="0.25">
      <c r="A6" t="s">
        <v>8</v>
      </c>
      <c r="B6" t="s">
        <v>4</v>
      </c>
    </row>
    <row r="7" spans="1:2" x14ac:dyDescent="0.25">
      <c r="A7" t="s">
        <v>36</v>
      </c>
      <c r="B7" t="s">
        <v>4</v>
      </c>
    </row>
    <row r="8" spans="1:2" x14ac:dyDescent="0.25">
      <c r="A8" t="s">
        <v>9</v>
      </c>
      <c r="B8" t="s">
        <v>4</v>
      </c>
    </row>
    <row r="9" spans="1:2" x14ac:dyDescent="0.25">
      <c r="A9" t="s">
        <v>28</v>
      </c>
      <c r="B9" t="s">
        <v>4</v>
      </c>
    </row>
    <row r="10" spans="1:2" x14ac:dyDescent="0.25">
      <c r="A10" t="s">
        <v>30</v>
      </c>
      <c r="B10" t="s">
        <v>4</v>
      </c>
    </row>
    <row r="11" spans="1:2" x14ac:dyDescent="0.25">
      <c r="A11" t="s">
        <v>35</v>
      </c>
      <c r="B11" t="s">
        <v>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3</vt:i4>
      </vt:variant>
    </vt:vector>
  </HeadingPairs>
  <TitlesOfParts>
    <vt:vector size="7" baseType="lpstr">
      <vt:lpstr>Extrato</vt:lpstr>
      <vt:lpstr>Relatório_Mensalidade</vt:lpstr>
      <vt:lpstr>Projeções</vt:lpstr>
      <vt:lpstr>Entradas</vt:lpstr>
      <vt:lpstr>DESPESAS</vt:lpstr>
      <vt:lpstr>MEMBROS</vt:lpstr>
      <vt:lpstr>RECEITAS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</dc:creator>
  <cp:lastModifiedBy>Rodrigo Peixoto</cp:lastModifiedBy>
  <dcterms:created xsi:type="dcterms:W3CDTF">2021-03-15T12:24:11Z</dcterms:created>
  <dcterms:modified xsi:type="dcterms:W3CDTF">2021-11-04T16:23:41Z</dcterms:modified>
</cp:coreProperties>
</file>