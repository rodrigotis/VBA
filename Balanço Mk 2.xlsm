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2db388d8264f7aa/3D GrouP/Estudos de Caso_BI/Planilha Financeira/"/>
    </mc:Choice>
  </mc:AlternateContent>
  <xr:revisionPtr revIDLastSave="0" documentId="8_{6E5E0F73-B67D-4A56-9A96-7ACFAAAD444F}" xr6:coauthVersionLast="47" xr6:coauthVersionMax="47" xr10:uidLastSave="{00000000-0000-0000-0000-000000000000}"/>
  <bookViews>
    <workbookView xWindow="-120" yWindow="-120" windowWidth="29040" windowHeight="15990" xr2:uid="{9F5554ED-E32A-4AA2-9A5A-0D001FC896E8}"/>
  </bookViews>
  <sheets>
    <sheet name="Extrato" sheetId="8" r:id="rId1"/>
    <sheet name="Cartões de Crédito" sheetId="10" r:id="rId2"/>
    <sheet name="Intervalos" sheetId="3" state="hidden" r:id="rId3"/>
  </sheets>
  <definedNames>
    <definedName name="DESPESA">OFFSET(#REF!,0,0,COUNTA(#REF!))</definedName>
    <definedName name="DESPESAS">Intervalos!$J$2:$J$29</definedName>
    <definedName name="DESTINOS">Intervalos!$C$2:$C$26</definedName>
    <definedName name="Meses">Intervalos!#REF!</definedName>
    <definedName name="MOTIVOS">Intervalos!$C$2:$C$57</definedName>
    <definedName name="QUEM">Intervalos!$I$2:$I$12</definedName>
    <definedName name="RECEITA">OFFSET(#REF!,0,0,COUNTA(#REF!))</definedName>
    <definedName name="RECEITAS">Intervalos!$K$2:$K$24</definedName>
    <definedName name="Serviço_Compra">Intervalos!$A$2:$A$11</definedName>
    <definedName name="TIPO">#REF!</definedName>
    <definedName name="TTRANSAÇÃO">Intervalos!$L$2:$L$8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8" l="1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</calcChain>
</file>

<file path=xl/sharedStrings.xml><?xml version="1.0" encoding="utf-8"?>
<sst xmlns="http://schemas.openxmlformats.org/spreadsheetml/2006/main" count="316" uniqueCount="139">
  <si>
    <t>TIPO</t>
  </si>
  <si>
    <t>NOME</t>
  </si>
  <si>
    <t>Serviço/Compra</t>
  </si>
  <si>
    <t>Compra</t>
  </si>
  <si>
    <t>Mensalidade</t>
  </si>
  <si>
    <t>Nubank</t>
  </si>
  <si>
    <t>Outro</t>
  </si>
  <si>
    <t>Parcela</t>
  </si>
  <si>
    <t>Uber</t>
  </si>
  <si>
    <t>Anuidade</t>
  </si>
  <si>
    <t>Academia</t>
  </si>
  <si>
    <t>Acupultura</t>
  </si>
  <si>
    <t>Adiantamento</t>
  </si>
  <si>
    <t>Alergologista</t>
  </si>
  <si>
    <t>AmazonPrime</t>
  </si>
  <si>
    <t>Apostas</t>
  </si>
  <si>
    <t>Boiadeiros</t>
  </si>
  <si>
    <t>Casa</t>
  </si>
  <si>
    <t>Cecília</t>
  </si>
  <si>
    <t>Celular</t>
  </si>
  <si>
    <t>Cinema</t>
  </si>
  <si>
    <t>Comida/UberEats/iFood</t>
  </si>
  <si>
    <t>Consulta</t>
  </si>
  <si>
    <t>Curso</t>
  </si>
  <si>
    <t>Dentista</t>
  </si>
  <si>
    <t>Escolinha</t>
  </si>
  <si>
    <t>Estorno</t>
  </si>
  <si>
    <t>Faculdade</t>
  </si>
  <si>
    <t>Farmácia</t>
  </si>
  <si>
    <t>Gás</t>
  </si>
  <si>
    <t>Gasolina</t>
  </si>
  <si>
    <t>Google</t>
  </si>
  <si>
    <t>Gorjeta</t>
  </si>
  <si>
    <t>HBOGo</t>
  </si>
  <si>
    <t>Hospital</t>
  </si>
  <si>
    <t>Ingresso</t>
  </si>
  <si>
    <t>Jogo</t>
  </si>
  <si>
    <t>Livros</t>
  </si>
  <si>
    <t>Malvee</t>
  </si>
  <si>
    <t>Mercado</t>
  </si>
  <si>
    <t>N.U.C.E.</t>
  </si>
  <si>
    <t>Netflix</t>
  </si>
  <si>
    <t>Neurologista</t>
  </si>
  <si>
    <t>Nextel</t>
  </si>
  <si>
    <t>Office 365</t>
  </si>
  <si>
    <t>Outros</t>
  </si>
  <si>
    <t>Passeio</t>
  </si>
  <si>
    <t>Pizza</t>
  </si>
  <si>
    <t>Pneumo</t>
  </si>
  <si>
    <t>Power House</t>
  </si>
  <si>
    <t>Presente</t>
  </si>
  <si>
    <t>Psico/Fono</t>
  </si>
  <si>
    <t>Reforma</t>
  </si>
  <si>
    <t>Remédio</t>
  </si>
  <si>
    <t>Roupa</t>
  </si>
  <si>
    <t>Spotify</t>
  </si>
  <si>
    <t>Trabalho</t>
  </si>
  <si>
    <t>Vacina</t>
  </si>
  <si>
    <t>Veterinário</t>
  </si>
  <si>
    <t>Visita</t>
  </si>
  <si>
    <t>Zezé</t>
  </si>
  <si>
    <t>PS Plus</t>
  </si>
  <si>
    <t>3D</t>
  </si>
  <si>
    <t>Macumba</t>
  </si>
  <si>
    <t>Robux</t>
  </si>
  <si>
    <t>Daniela</t>
  </si>
  <si>
    <t>Eu</t>
  </si>
  <si>
    <t>Mãe</t>
  </si>
  <si>
    <t>Tio Beto</t>
  </si>
  <si>
    <t>Vó Lina</t>
  </si>
  <si>
    <t>Rogério</t>
  </si>
  <si>
    <t>[INVEST] Aplicação</t>
  </si>
  <si>
    <t>[Nuconta] Aplicação</t>
  </si>
  <si>
    <t>[POUP] Aplicação</t>
  </si>
  <si>
    <t>Água</t>
  </si>
  <si>
    <t>IPTU</t>
  </si>
  <si>
    <t>Amigos do Bem</t>
  </si>
  <si>
    <t>Banco Inter</t>
  </si>
  <si>
    <t>Boleto</t>
  </si>
  <si>
    <t>Cartão de Débito</t>
  </si>
  <si>
    <t>Crédito Celular</t>
  </si>
  <si>
    <t>Investimento</t>
  </si>
  <si>
    <t>Luz</t>
  </si>
  <si>
    <t>NET</t>
  </si>
  <si>
    <t>PPI (Pais)</t>
  </si>
  <si>
    <t>Saque</t>
  </si>
  <si>
    <t>SubMarino</t>
  </si>
  <si>
    <t>Taxa ITAÚ</t>
  </si>
  <si>
    <t>Transferência</t>
  </si>
  <si>
    <t>Escola</t>
  </si>
  <si>
    <t>Emprestimo (NUBank)</t>
  </si>
  <si>
    <t>Convêncio Ceci</t>
  </si>
  <si>
    <t>[INVEST] Resgate</t>
  </si>
  <si>
    <t>[Nuconta] Resgate</t>
  </si>
  <si>
    <t>[Inter] Resgate</t>
  </si>
  <si>
    <t>13º - 1ª ou 2º Parcela</t>
  </si>
  <si>
    <t>Correção</t>
  </si>
  <si>
    <t>Denise</t>
  </si>
  <si>
    <t>Férias</t>
  </si>
  <si>
    <t>Juros Poupança</t>
  </si>
  <si>
    <t>Pais</t>
  </si>
  <si>
    <t>PLR</t>
  </si>
  <si>
    <t>Reembolso</t>
  </si>
  <si>
    <t>Salário</t>
  </si>
  <si>
    <t>Saldo</t>
  </si>
  <si>
    <t>FGTS</t>
  </si>
  <si>
    <t>Contas</t>
  </si>
  <si>
    <t>CashBack</t>
  </si>
  <si>
    <t>Venda</t>
  </si>
  <si>
    <t>RECEITA</t>
  </si>
  <si>
    <t>Débito</t>
  </si>
  <si>
    <t>DATA</t>
  </si>
  <si>
    <t>Operações</t>
  </si>
  <si>
    <t>DESPESAS</t>
  </si>
  <si>
    <t>QUEM</t>
  </si>
  <si>
    <t>Web</t>
  </si>
  <si>
    <t>Seguro de Vida</t>
  </si>
  <si>
    <t>Seguro Residencial</t>
  </si>
  <si>
    <t>DESCRIÇÃO</t>
  </si>
  <si>
    <t>VALOR</t>
  </si>
  <si>
    <t>CÁLCULO</t>
  </si>
  <si>
    <t xml:space="preserve">FATURA DE </t>
  </si>
  <si>
    <t>BANDEIRA</t>
  </si>
  <si>
    <t>SERVIÇO / PRODUTO</t>
  </si>
  <si>
    <t>MOTIVO</t>
  </si>
  <si>
    <t>PARCELAS</t>
  </si>
  <si>
    <t>Motivo</t>
  </si>
  <si>
    <t>INFORMAÇÃO ADICIONAL</t>
  </si>
  <si>
    <t>Despesa</t>
  </si>
  <si>
    <t>02/24</t>
  </si>
  <si>
    <t/>
  </si>
  <si>
    <t>Material</t>
  </si>
  <si>
    <t>Receita</t>
  </si>
  <si>
    <t>Conta</t>
  </si>
  <si>
    <t>Água+N.U.C.E.</t>
  </si>
  <si>
    <t>Asus</t>
  </si>
  <si>
    <t>Filha</t>
  </si>
  <si>
    <t>Esposa</t>
  </si>
  <si>
    <t>Convêncio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</si>
</sst>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mmmm\,\ yyyy;@"/>
  </numFmts>
  <fonts count="5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0" fontId="3" fillId="0" borderId="0"/>
  </cellStyleXfs>
  <cellXfs count="28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/>
    <xf numFmtId="0" fontId="2" fillId="0" borderId="0" xfId="0" applyFont="1" applyAlignment="1">
      <alignment horizontal="left" vertical="center"/>
    </xf>
    <xf numFmtId="164" fontId="0" fillId="0" borderId="0" xfId="0" applyNumberFormat="1" applyAlignment="1">
      <alignment horizontal="left"/>
    </xf>
    <xf numFmtId="0" fontId="2" fillId="0" borderId="0" xfId="0" applyFont="1"/>
    <xf numFmtId="44" fontId="0" fillId="0" borderId="0" xfId="1" applyFont="1"/>
    <xf numFmtId="0" fontId="0" fillId="2" borderId="0" xfId="0" applyFill="1" applyAlignment="1">
      <alignment horizontal="left"/>
    </xf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left" vertical="center"/>
    </xf>
    <xf numFmtId="164" fontId="0" fillId="2" borderId="0" xfId="0" applyNumberFormat="1" applyFill="1" applyAlignment="1">
      <alignment horizontal="left"/>
    </xf>
    <xf numFmtId="0" fontId="0" fillId="3" borderId="0" xfId="0" applyFill="1" applyAlignment="1">
      <alignment horizontal="left"/>
    </xf>
    <xf numFmtId="0" fontId="0" fillId="3" borderId="0" xfId="0" applyFill="1"/>
    <xf numFmtId="0" fontId="1" fillId="3" borderId="0" xfId="0" applyFont="1" applyFill="1"/>
    <xf numFmtId="0" fontId="0" fillId="4" borderId="0" xfId="0" applyFill="1" applyAlignment="1">
      <alignment horizontal="left"/>
    </xf>
    <xf numFmtId="0" fontId="1" fillId="4" borderId="0" xfId="0" applyFont="1" applyFill="1"/>
    <xf numFmtId="0" fontId="0" fillId="4" borderId="0" xfId="0" applyFill="1"/>
    <xf numFmtId="0" fontId="0" fillId="5" borderId="0" xfId="0" applyFill="1" applyAlignment="1">
      <alignment horizontal="left"/>
    </xf>
    <xf numFmtId="0" fontId="2" fillId="5" borderId="0" xfId="0" applyFont="1" applyFill="1" applyAlignment="1">
      <alignment horizontal="left" vertical="center"/>
    </xf>
    <xf numFmtId="0" fontId="0" fillId="5" borderId="0" xfId="0" applyFill="1"/>
    <xf numFmtId="0" fontId="0" fillId="6" borderId="0" xfId="0" applyFill="1"/>
    <xf numFmtId="165" fontId="0" fillId="0" borderId="0" xfId="0" applyNumberFormat="1"/>
    <xf numFmtId="0" fontId="0" fillId="0" borderId="0" xfId="0" applyNumberFormat="1"/>
    <xf numFmtId="0" fontId="0" fillId="0" borderId="0" xfId="1" applyNumberFormat="1" applyFont="1"/>
    <xf numFmtId="44" fontId="0" fillId="0" borderId="0" xfId="1" applyNumberFormat="1" applyFont="1"/>
    <xf numFmtId="43" fontId="0" fillId="0" borderId="0" xfId="1" applyNumberFormat="1" applyFont="1"/>
  </cellXfs>
  <cellStyles count="3">
    <cellStyle name="Moeda" xfId="1" builtinId="4"/>
    <cellStyle name="Normal" xfId="0" builtinId="0"/>
    <cellStyle name="Normal 3" xfId="2" xr:uid="{F746D055-5220-4B0C-92B1-D587B7EFB0CE}"/>
  </cellStyles>
  <dxfs count="14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mmmm\,\ yyyy;@"/>
    </dxf>
    <dxf>
      <numFmt numFmtId="0" formatCode="General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5" formatCode="_-* #,##0.00_-;\-* #,##0.00_-;_-* &quot;-&quot;??_-;_-@_-"/>
    </dxf>
    <dxf>
      <numFmt numFmtId="165" formatCode="mmmm\,\ yyyy;@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 xr9:uid="{4EE7C0F9-3FD9-49D8-87E0-3C2C2A77B637}">
      <tableStyleElement type="firstColumnStripe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0</xdr:row>
      <xdr:rowOff>19050</xdr:rowOff>
    </xdr:from>
    <xdr:to>
      <xdr:col>7</xdr:col>
      <xdr:colOff>419100</xdr:colOff>
      <xdr:row>3</xdr:row>
      <xdr:rowOff>0</xdr:rowOff>
    </xdr:to>
    <xdr:sp macro="[0]!AtivarCaixa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6269251-CFAF-456F-BDAE-3A00E6E50FD1}"/>
            </a:ext>
          </a:extLst>
        </xdr:cNvPr>
        <xdr:cNvSpPr/>
      </xdr:nvSpPr>
      <xdr:spPr>
        <a:xfrm>
          <a:off x="6419850" y="19050"/>
          <a:ext cx="914400" cy="561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 Operação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0</xdr:rowOff>
    </xdr:from>
    <xdr:to>
      <xdr:col>9</xdr:col>
      <xdr:colOff>342900</xdr:colOff>
      <xdr:row>2</xdr:row>
      <xdr:rowOff>171450</xdr:rowOff>
    </xdr:to>
    <xdr:sp macro="[0]!AtivarCaixa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F2CD25D-575B-4E56-A864-E52983C417A8}"/>
            </a:ext>
          </a:extLst>
        </xdr:cNvPr>
        <xdr:cNvSpPr/>
      </xdr:nvSpPr>
      <xdr:spPr>
        <a:xfrm>
          <a:off x="6810375" y="0"/>
          <a:ext cx="91440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 Operação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F5AC57-B28B-4A96-BDA5-105DAE16CC95}" name="Tabela1" displayName="Tabela1" ref="A2:F18" totalsRowShown="0">
  <autoFilter ref="A2:F18" xr:uid="{F4C69373-DCE5-4138-AABE-BE5A0C1CF2F0}"/>
  <tableColumns count="6">
    <tableColumn id="1" xr3:uid="{D54E6215-5DCA-46B5-80DC-02BE25AA99D5}" name="DATA" dataDxfId="12"/>
    <tableColumn id="2" xr3:uid="{79A6454B-86E7-4DE6-8F61-B089FDC40CAF}" name="TIPO"/>
    <tableColumn id="3" xr3:uid="{2D107291-81BB-4061-82C3-264B7FBA9281}" name="DESCRIÇÃO"/>
    <tableColumn id="4" xr3:uid="{80C5E8CF-11BA-4EA9-8CEA-8BCC1F115EF0}" name="VALOR" dataDxfId="11" dataCellStyle="Moeda"/>
    <tableColumn id="5" xr3:uid="{6A3A9EFE-57BB-4CEA-A7B7-D3F198B413F1}" name="CÁLCULO" dataDxfId="10" dataCellStyle="Moeda">
      <calculatedColumnFormula>IF(B3="Despesa",D3*(-1),IF(B3="Receita",D3,""))</calculatedColumnFormula>
    </tableColumn>
    <tableColumn id="9" xr3:uid="{3AA92181-E99B-4E23-AECF-667E2716A1EB}" name="INFORMAÇÃO ADICIONAL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5A8EFB-C6B1-49FD-9CFE-0F17F409C510}" name="Tabela2" displayName="Tabela2" ref="A2:H24" totalsRowShown="0" headerRowDxfId="9" dataDxfId="8">
  <autoFilter ref="A2:H24" xr:uid="{57EA272C-599A-455C-B41E-9023BDA485F5}"/>
  <tableColumns count="8">
    <tableColumn id="1" xr3:uid="{3FEB1F17-8487-4EF6-976F-809FFAD8B502}" name="FATURA DE " dataDxfId="7"/>
    <tableColumn id="2" xr3:uid="{2C7DA759-89E2-4D48-96D8-9B63FE043ECA}" name="BANDEIRA" dataDxfId="6"/>
    <tableColumn id="3" xr3:uid="{364E9520-342C-4032-A0AA-53DF7B68F712}" name="SERVIÇO / PRODUTO" dataDxfId="5"/>
    <tableColumn id="4" xr3:uid="{7377BF73-64C1-448A-9975-9423F5845082}" name="MOTIVO" dataDxfId="4"/>
    <tableColumn id="5" xr3:uid="{A46A8EFA-1C3C-46EC-B9A3-D8C43429381A}" name="QUEM" dataDxfId="3"/>
    <tableColumn id="6" xr3:uid="{D872879B-1567-4502-B64B-EBC73B4AEA3C}" name="VALOR" dataDxfId="2" dataCellStyle="Moeda"/>
    <tableColumn id="7" xr3:uid="{C5A90522-FD9B-4D7E-92D7-6C30A5D7EB8E}" name="PARCELAS" dataDxfId="1"/>
    <tableColumn id="8" xr3:uid="{BDE30E9E-2378-48A5-8639-46F243C3832F}" name="DESCRIÇ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6261A-8ECF-4AD4-B8F1-657515B9E6AF}">
  <sheetPr codeName="Planilha1"/>
  <dimension ref="A2:F18"/>
  <sheetViews>
    <sheetView tabSelected="1" workbookViewId="0">
      <selection activeCell="C17" sqref="C17"/>
    </sheetView>
  </sheetViews>
  <sheetFormatPr defaultRowHeight="15" x14ac:dyDescent="0.25"/>
  <cols>
    <col min="1" max="1" width="13.28515625" customWidth="1"/>
    <col min="2" max="2" width="12.28515625" customWidth="1"/>
    <col min="3" max="3" width="21.140625" customWidth="1"/>
    <col min="4" max="4" width="10.5703125" customWidth="1"/>
    <col min="5" max="5" width="11.42578125" bestFit="1" customWidth="1"/>
    <col min="6" max="6" width="25.85546875" customWidth="1"/>
    <col min="8" max="8" width="12.140625" bestFit="1" customWidth="1"/>
  </cols>
  <sheetData>
    <row r="2" spans="1:6" x14ac:dyDescent="0.25">
      <c r="A2" t="s">
        <v>111</v>
      </c>
      <c r="B2" t="s">
        <v>0</v>
      </c>
      <c r="C2" t="s">
        <v>118</v>
      </c>
      <c r="D2" t="s">
        <v>119</v>
      </c>
      <c r="E2" t="s">
        <v>120</v>
      </c>
      <c r="F2" t="s">
        <v>127</v>
      </c>
    </row>
    <row r="3" spans="1:6" x14ac:dyDescent="0.25">
      <c r="A3" s="23"/>
      <c r="D3" s="27"/>
      <c r="E3" s="26" t="str">
        <f>IF(B3="Despesa",D3*(-1),IF(B3="Receita",D3,""))</f>
        <v/>
      </c>
    </row>
    <row r="4" spans="1:6" x14ac:dyDescent="0.25">
      <c r="A4" s="23">
        <v>44311</v>
      </c>
      <c r="B4" t="s">
        <v>132</v>
      </c>
      <c r="C4" t="s">
        <v>102</v>
      </c>
      <c r="D4" s="27">
        <v>91.62</v>
      </c>
      <c r="E4" s="26">
        <f t="shared" ref="E4:E18" si="0">IF(B4="Despesa",D4*(-1),IF(B4="Receita",D4,""))</f>
        <v>91.62</v>
      </c>
      <c r="F4" t="s">
        <v>135</v>
      </c>
    </row>
    <row r="5" spans="1:6" x14ac:dyDescent="0.25">
      <c r="A5" s="23">
        <v>44311</v>
      </c>
      <c r="B5" t="s">
        <v>128</v>
      </c>
      <c r="C5" t="s">
        <v>133</v>
      </c>
      <c r="D5" s="27">
        <v>140</v>
      </c>
      <c r="E5" s="26">
        <f t="shared" si="0"/>
        <v>-140</v>
      </c>
      <c r="F5" t="s">
        <v>134</v>
      </c>
    </row>
    <row r="6" spans="1:6" x14ac:dyDescent="0.25">
      <c r="A6" s="23">
        <v>44311</v>
      </c>
      <c r="B6" t="s">
        <v>132</v>
      </c>
      <c r="C6" t="s">
        <v>102</v>
      </c>
      <c r="D6" s="27">
        <v>7.5</v>
      </c>
      <c r="E6" s="26">
        <f t="shared" si="0"/>
        <v>7.5</v>
      </c>
      <c r="F6" t="s">
        <v>97</v>
      </c>
    </row>
    <row r="7" spans="1:6" x14ac:dyDescent="0.25">
      <c r="A7" s="23">
        <v>44311</v>
      </c>
      <c r="B7" t="s">
        <v>132</v>
      </c>
      <c r="C7" t="s">
        <v>102</v>
      </c>
      <c r="D7" s="27">
        <v>50</v>
      </c>
      <c r="E7" s="26">
        <f t="shared" si="0"/>
        <v>50</v>
      </c>
      <c r="F7" t="s">
        <v>67</v>
      </c>
    </row>
    <row r="8" spans="1:6" x14ac:dyDescent="0.25">
      <c r="A8" s="23">
        <v>44311</v>
      </c>
      <c r="B8" t="s">
        <v>128</v>
      </c>
      <c r="C8" t="s">
        <v>25</v>
      </c>
      <c r="D8" s="27">
        <v>172</v>
      </c>
      <c r="E8" s="26">
        <f t="shared" si="0"/>
        <v>-172</v>
      </c>
      <c r="F8" t="s">
        <v>131</v>
      </c>
    </row>
    <row r="9" spans="1:6" x14ac:dyDescent="0.25">
      <c r="A9" s="23">
        <v>44311</v>
      </c>
      <c r="B9" t="s">
        <v>128</v>
      </c>
      <c r="C9" t="s">
        <v>79</v>
      </c>
      <c r="D9" s="27">
        <v>400</v>
      </c>
      <c r="E9" s="26">
        <f t="shared" si="0"/>
        <v>-400</v>
      </c>
      <c r="F9" t="s">
        <v>25</v>
      </c>
    </row>
    <row r="10" spans="1:6" x14ac:dyDescent="0.25">
      <c r="A10" s="23">
        <v>44311</v>
      </c>
      <c r="B10" t="s">
        <v>128</v>
      </c>
      <c r="C10" t="s">
        <v>79</v>
      </c>
      <c r="D10" s="27">
        <v>500</v>
      </c>
      <c r="E10" s="26">
        <f t="shared" si="0"/>
        <v>-500</v>
      </c>
      <c r="F10" t="s">
        <v>39</v>
      </c>
    </row>
    <row r="11" spans="1:6" x14ac:dyDescent="0.25">
      <c r="A11" s="23">
        <v>44311</v>
      </c>
      <c r="B11" t="s">
        <v>128</v>
      </c>
      <c r="C11" t="s">
        <v>138</v>
      </c>
      <c r="D11" s="27">
        <v>162</v>
      </c>
      <c r="E11" s="26">
        <f t="shared" si="0"/>
        <v>-162</v>
      </c>
      <c r="F11" t="s">
        <v>130</v>
      </c>
    </row>
    <row r="12" spans="1:6" x14ac:dyDescent="0.25">
      <c r="A12" s="23">
        <v>44311</v>
      </c>
      <c r="B12" t="s">
        <v>128</v>
      </c>
      <c r="C12" t="s">
        <v>87</v>
      </c>
      <c r="D12" s="27">
        <v>22.1</v>
      </c>
      <c r="E12" s="26">
        <f t="shared" si="0"/>
        <v>-22.1</v>
      </c>
      <c r="F12" t="s">
        <v>130</v>
      </c>
    </row>
    <row r="13" spans="1:6" x14ac:dyDescent="0.25">
      <c r="A13" s="23">
        <v>44311</v>
      </c>
      <c r="B13" t="s">
        <v>128</v>
      </c>
      <c r="C13" t="s">
        <v>74</v>
      </c>
      <c r="D13" s="27">
        <v>71.45</v>
      </c>
      <c r="E13" s="26">
        <f t="shared" si="0"/>
        <v>-71.45</v>
      </c>
      <c r="F13" t="s">
        <v>130</v>
      </c>
    </row>
    <row r="14" spans="1:6" x14ac:dyDescent="0.25">
      <c r="A14" s="23">
        <v>44311</v>
      </c>
      <c r="B14" t="s">
        <v>128</v>
      </c>
      <c r="C14" t="s">
        <v>5</v>
      </c>
      <c r="D14" s="27">
        <v>851.21</v>
      </c>
      <c r="E14" s="26">
        <f t="shared" si="0"/>
        <v>-851.21</v>
      </c>
      <c r="F14" t="s">
        <v>130</v>
      </c>
    </row>
    <row r="15" spans="1:6" x14ac:dyDescent="0.25">
      <c r="A15" s="23">
        <v>44311</v>
      </c>
      <c r="B15" t="s">
        <v>128</v>
      </c>
      <c r="C15" t="s">
        <v>40</v>
      </c>
      <c r="D15" s="27">
        <v>200</v>
      </c>
      <c r="E15" s="26">
        <f t="shared" si="0"/>
        <v>-200</v>
      </c>
      <c r="F15" t="s">
        <v>130</v>
      </c>
    </row>
    <row r="16" spans="1:6" x14ac:dyDescent="0.25">
      <c r="A16" s="23">
        <v>44311</v>
      </c>
      <c r="B16" t="s">
        <v>128</v>
      </c>
      <c r="C16" t="s">
        <v>117</v>
      </c>
      <c r="D16" s="27">
        <v>137.77000000000001</v>
      </c>
      <c r="E16" s="26">
        <f t="shared" si="0"/>
        <v>-137.77000000000001</v>
      </c>
      <c r="F16" t="s">
        <v>130</v>
      </c>
    </row>
    <row r="17" spans="1:6" x14ac:dyDescent="0.25">
      <c r="A17" s="23">
        <v>44311</v>
      </c>
      <c r="B17" t="s">
        <v>128</v>
      </c>
      <c r="C17" t="s">
        <v>75</v>
      </c>
      <c r="D17" s="27">
        <v>664.36</v>
      </c>
      <c r="E17" s="26">
        <f t="shared" si="0"/>
        <v>-664.36</v>
      </c>
      <c r="F17" t="s">
        <v>130</v>
      </c>
    </row>
    <row r="18" spans="1:6" x14ac:dyDescent="0.25">
      <c r="A18" s="23">
        <v>44311</v>
      </c>
      <c r="B18" t="s">
        <v>128</v>
      </c>
      <c r="C18" t="s">
        <v>90</v>
      </c>
      <c r="D18" s="27">
        <v>615.55999999999995</v>
      </c>
      <c r="E18" s="26">
        <f t="shared" si="0"/>
        <v>-615.55999999999995</v>
      </c>
      <c r="F18" t="s">
        <v>129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6D439-40F5-409D-8E31-491761E30C35}">
  <sheetPr codeName="Planilha3"/>
  <dimension ref="A2:K28"/>
  <sheetViews>
    <sheetView workbookViewId="0">
      <selection activeCell="E25" sqref="E25"/>
    </sheetView>
  </sheetViews>
  <sheetFormatPr defaultRowHeight="15" x14ac:dyDescent="0.25"/>
  <cols>
    <col min="1" max="1" width="13.28515625" style="24" customWidth="1"/>
    <col min="2" max="2" width="12.28515625" style="24" customWidth="1"/>
    <col min="3" max="3" width="21.140625" style="24" customWidth="1"/>
    <col min="4" max="4" width="10.5703125" style="24" customWidth="1"/>
    <col min="5" max="5" width="8.5703125" style="24" customWidth="1"/>
    <col min="6" max="6" width="10.5703125" style="24" bestFit="1" customWidth="1"/>
    <col min="7" max="7" width="12" style="24" customWidth="1"/>
    <col min="8" max="8" width="49.5703125" style="24" bestFit="1" customWidth="1"/>
    <col min="9" max="16384" width="9.140625" style="24"/>
  </cols>
  <sheetData>
    <row r="2" spans="1:11" x14ac:dyDescent="0.25">
      <c r="A2" s="24" t="s">
        <v>121</v>
      </c>
      <c r="B2" s="24" t="s">
        <v>122</v>
      </c>
      <c r="C2" s="24" t="s">
        <v>123</v>
      </c>
      <c r="D2" s="24" t="s">
        <v>124</v>
      </c>
      <c r="E2" s="24" t="s">
        <v>114</v>
      </c>
      <c r="F2" s="24" t="s">
        <v>119</v>
      </c>
      <c r="G2" s="24" t="s">
        <v>125</v>
      </c>
      <c r="H2" s="24" t="s">
        <v>118</v>
      </c>
    </row>
    <row r="3" spans="1:11" x14ac:dyDescent="0.25">
      <c r="A3" s="23"/>
      <c r="F3" s="7"/>
    </row>
    <row r="4" spans="1:11" x14ac:dyDescent="0.25">
      <c r="A4" s="23">
        <v>44341</v>
      </c>
      <c r="B4" s="24" t="s">
        <v>5</v>
      </c>
      <c r="C4" s="24" t="s">
        <v>8</v>
      </c>
      <c r="D4" s="24" t="s">
        <v>59</v>
      </c>
      <c r="E4" s="24" t="s">
        <v>66</v>
      </c>
      <c r="F4" s="7">
        <v>7.95</v>
      </c>
      <c r="G4" s="24" t="s">
        <v>130</v>
      </c>
      <c r="H4" s="24" t="s">
        <v>130</v>
      </c>
    </row>
    <row r="5" spans="1:11" x14ac:dyDescent="0.25">
      <c r="A5" s="23">
        <v>44341</v>
      </c>
      <c r="B5" s="24" t="s">
        <v>5</v>
      </c>
      <c r="C5" s="24" t="s">
        <v>3</v>
      </c>
      <c r="D5" s="24" t="s">
        <v>39</v>
      </c>
      <c r="E5" s="24" t="s">
        <v>66</v>
      </c>
      <c r="F5" s="7">
        <v>83.66</v>
      </c>
      <c r="G5" s="24" t="s">
        <v>130</v>
      </c>
      <c r="H5" s="24" t="s">
        <v>130</v>
      </c>
    </row>
    <row r="6" spans="1:11" x14ac:dyDescent="0.25">
      <c r="A6" s="23">
        <v>44341</v>
      </c>
      <c r="B6" s="24" t="s">
        <v>5</v>
      </c>
      <c r="C6" s="24" t="s">
        <v>8</v>
      </c>
      <c r="D6" s="24" t="s">
        <v>25</v>
      </c>
      <c r="E6" s="24" t="s">
        <v>136</v>
      </c>
      <c r="F6" s="7">
        <v>7.86</v>
      </c>
      <c r="G6" s="24" t="s">
        <v>130</v>
      </c>
      <c r="H6" s="24" t="s">
        <v>130</v>
      </c>
    </row>
    <row r="7" spans="1:11" x14ac:dyDescent="0.25">
      <c r="A7" s="23">
        <v>44341</v>
      </c>
      <c r="B7" s="24" t="s">
        <v>5</v>
      </c>
      <c r="C7" s="24" t="s">
        <v>3</v>
      </c>
      <c r="D7" s="24" t="s">
        <v>39</v>
      </c>
      <c r="E7" s="24" t="s">
        <v>66</v>
      </c>
      <c r="F7" s="7">
        <v>26.29</v>
      </c>
      <c r="G7" s="24" t="s">
        <v>130</v>
      </c>
      <c r="H7" s="24" t="s">
        <v>130</v>
      </c>
    </row>
    <row r="8" spans="1:11" x14ac:dyDescent="0.25">
      <c r="A8" s="23">
        <v>44341</v>
      </c>
      <c r="B8" s="24" t="s">
        <v>5</v>
      </c>
      <c r="C8" s="24" t="s">
        <v>3</v>
      </c>
      <c r="D8" s="24" t="s">
        <v>36</v>
      </c>
      <c r="E8" s="24" t="s">
        <v>66</v>
      </c>
      <c r="F8" s="7">
        <v>25.08</v>
      </c>
      <c r="G8" s="24" t="s">
        <v>130</v>
      </c>
      <c r="H8" s="24" t="s">
        <v>130</v>
      </c>
    </row>
    <row r="9" spans="1:11" x14ac:dyDescent="0.25">
      <c r="A9" s="23">
        <v>44341</v>
      </c>
      <c r="B9" s="24" t="s">
        <v>5</v>
      </c>
      <c r="C9" s="24" t="s">
        <v>8</v>
      </c>
      <c r="D9" s="24" t="s">
        <v>22</v>
      </c>
      <c r="E9" s="24" t="s">
        <v>137</v>
      </c>
      <c r="F9" s="7">
        <v>7.76</v>
      </c>
      <c r="G9" s="24" t="s">
        <v>130</v>
      </c>
      <c r="H9" s="24" t="s">
        <v>130</v>
      </c>
    </row>
    <row r="10" spans="1:11" x14ac:dyDescent="0.25">
      <c r="A10" s="23">
        <v>44341</v>
      </c>
      <c r="B10" s="24" t="s">
        <v>5</v>
      </c>
      <c r="C10" s="24" t="s">
        <v>8</v>
      </c>
      <c r="D10" s="24" t="s">
        <v>22</v>
      </c>
      <c r="E10" s="24" t="s">
        <v>137</v>
      </c>
      <c r="F10" s="7">
        <v>6.52</v>
      </c>
      <c r="G10" s="24" t="s">
        <v>130</v>
      </c>
      <c r="H10" s="24" t="s">
        <v>130</v>
      </c>
    </row>
    <row r="11" spans="1:11" x14ac:dyDescent="0.25">
      <c r="A11" s="23">
        <v>44341</v>
      </c>
      <c r="B11" s="24" t="s">
        <v>5</v>
      </c>
      <c r="C11" s="24" t="s">
        <v>4</v>
      </c>
      <c r="D11" s="24" t="s">
        <v>41</v>
      </c>
      <c r="E11" s="24" t="s">
        <v>66</v>
      </c>
      <c r="F11" s="7">
        <v>21.9</v>
      </c>
      <c r="G11" s="24" t="s">
        <v>130</v>
      </c>
      <c r="H11" s="24" t="s">
        <v>130</v>
      </c>
    </row>
    <row r="12" spans="1:11" x14ac:dyDescent="0.25">
      <c r="A12" s="23">
        <v>44341</v>
      </c>
      <c r="B12" s="24" t="s">
        <v>5</v>
      </c>
      <c r="C12" s="24" t="s">
        <v>112</v>
      </c>
      <c r="D12" s="24" t="s">
        <v>12</v>
      </c>
      <c r="E12" s="24" t="s">
        <v>66</v>
      </c>
      <c r="F12" s="7">
        <v>-145</v>
      </c>
      <c r="G12" s="24" t="s">
        <v>130</v>
      </c>
    </row>
    <row r="13" spans="1:11" x14ac:dyDescent="0.25">
      <c r="A13" s="23">
        <v>44341</v>
      </c>
      <c r="B13" s="24" t="s">
        <v>5</v>
      </c>
      <c r="C13" s="24" t="s">
        <v>8</v>
      </c>
      <c r="D13" s="24" t="s">
        <v>22</v>
      </c>
      <c r="E13" s="24" t="s">
        <v>137</v>
      </c>
      <c r="F13" s="7">
        <v>7.76</v>
      </c>
      <c r="G13" s="24" t="s">
        <v>130</v>
      </c>
      <c r="H13" s="24" t="s">
        <v>130</v>
      </c>
    </row>
    <row r="14" spans="1:11" x14ac:dyDescent="0.25">
      <c r="A14" s="23">
        <v>44341</v>
      </c>
      <c r="B14" s="24" t="s">
        <v>5</v>
      </c>
      <c r="C14" s="24" t="s">
        <v>8</v>
      </c>
      <c r="D14" s="24" t="s">
        <v>59</v>
      </c>
      <c r="E14" s="24" t="s">
        <v>66</v>
      </c>
      <c r="F14" s="7">
        <v>7.87</v>
      </c>
      <c r="G14" s="24" t="s">
        <v>130</v>
      </c>
      <c r="H14" s="24" t="s">
        <v>130</v>
      </c>
    </row>
    <row r="15" spans="1:11" x14ac:dyDescent="0.25">
      <c r="A15" s="23">
        <v>44341</v>
      </c>
      <c r="B15" s="24" t="s">
        <v>5</v>
      </c>
      <c r="C15" s="24" t="s">
        <v>3</v>
      </c>
      <c r="D15" s="24" t="s">
        <v>115</v>
      </c>
      <c r="E15" s="24" t="s">
        <v>66</v>
      </c>
      <c r="F15" s="7">
        <v>145.85</v>
      </c>
      <c r="G15" s="24" t="s">
        <v>130</v>
      </c>
      <c r="K15" s="7"/>
    </row>
    <row r="16" spans="1:11" x14ac:dyDescent="0.25">
      <c r="A16" s="23">
        <v>44341</v>
      </c>
      <c r="B16" s="24" t="s">
        <v>5</v>
      </c>
      <c r="C16" s="24" t="s">
        <v>3</v>
      </c>
      <c r="D16" s="24" t="s">
        <v>39</v>
      </c>
      <c r="E16" s="24" t="s">
        <v>66</v>
      </c>
      <c r="F16" s="7">
        <v>43.1</v>
      </c>
      <c r="G16" s="24" t="s">
        <v>130</v>
      </c>
      <c r="H16" s="24" t="s">
        <v>130</v>
      </c>
    </row>
    <row r="17" spans="1:8" x14ac:dyDescent="0.25">
      <c r="A17" s="23">
        <v>44341</v>
      </c>
      <c r="B17" s="24" t="s">
        <v>5</v>
      </c>
      <c r="C17" s="24" t="s">
        <v>8</v>
      </c>
      <c r="D17" s="24" t="s">
        <v>40</v>
      </c>
      <c r="E17" s="24" t="s">
        <v>66</v>
      </c>
      <c r="F17" s="7">
        <v>6.73</v>
      </c>
      <c r="G17" s="24" t="s">
        <v>130</v>
      </c>
      <c r="H17" s="24" t="s">
        <v>130</v>
      </c>
    </row>
    <row r="18" spans="1:8" x14ac:dyDescent="0.25">
      <c r="A18" s="23">
        <v>44341</v>
      </c>
      <c r="B18" s="24" t="s">
        <v>5</v>
      </c>
      <c r="C18" s="24" t="s">
        <v>3</v>
      </c>
      <c r="D18" s="24" t="s">
        <v>21</v>
      </c>
      <c r="E18" s="24" t="s">
        <v>66</v>
      </c>
      <c r="F18" s="7">
        <v>76.290000000000006</v>
      </c>
      <c r="G18" s="24" t="s">
        <v>130</v>
      </c>
      <c r="H18" s="24" t="s">
        <v>130</v>
      </c>
    </row>
    <row r="19" spans="1:8" x14ac:dyDescent="0.25">
      <c r="A19" s="23">
        <v>44341</v>
      </c>
      <c r="B19" s="24" t="s">
        <v>5</v>
      </c>
      <c r="C19" s="24" t="s">
        <v>3</v>
      </c>
      <c r="D19" s="24" t="s">
        <v>39</v>
      </c>
      <c r="E19" s="24" t="s">
        <v>66</v>
      </c>
      <c r="F19" s="7">
        <v>22.18</v>
      </c>
      <c r="G19" s="24" t="s">
        <v>130</v>
      </c>
      <c r="H19" s="24" t="s">
        <v>130</v>
      </c>
    </row>
    <row r="20" spans="1:8" x14ac:dyDescent="0.25">
      <c r="A20" s="23">
        <v>44341</v>
      </c>
      <c r="B20" s="24" t="s">
        <v>5</v>
      </c>
      <c r="C20" s="24" t="s">
        <v>8</v>
      </c>
      <c r="D20" s="24" t="s">
        <v>40</v>
      </c>
      <c r="E20" s="24" t="s">
        <v>66</v>
      </c>
      <c r="F20" s="7">
        <v>7.63</v>
      </c>
      <c r="G20" s="24" t="s">
        <v>130</v>
      </c>
      <c r="H20" s="24" t="s">
        <v>130</v>
      </c>
    </row>
    <row r="21" spans="1:8" x14ac:dyDescent="0.25">
      <c r="A21" s="23">
        <v>44341</v>
      </c>
      <c r="B21" s="24" t="s">
        <v>5</v>
      </c>
      <c r="C21" s="24" t="s">
        <v>112</v>
      </c>
      <c r="D21" s="24" t="s">
        <v>26</v>
      </c>
      <c r="E21" s="24" t="s">
        <v>66</v>
      </c>
      <c r="F21" s="7">
        <v>-17</v>
      </c>
      <c r="G21" s="24" t="s">
        <v>130</v>
      </c>
    </row>
    <row r="22" spans="1:8" x14ac:dyDescent="0.25">
      <c r="A22" s="23">
        <v>44341</v>
      </c>
      <c r="B22" s="24" t="s">
        <v>5</v>
      </c>
      <c r="C22" s="24" t="s">
        <v>8</v>
      </c>
      <c r="D22" s="24" t="s">
        <v>25</v>
      </c>
      <c r="E22" s="24" t="s">
        <v>136</v>
      </c>
      <c r="F22" s="7">
        <v>6.61</v>
      </c>
      <c r="G22" s="24" t="s">
        <v>130</v>
      </c>
      <c r="H22" s="24" t="s">
        <v>130</v>
      </c>
    </row>
    <row r="23" spans="1:8" x14ac:dyDescent="0.25">
      <c r="A23" s="23">
        <v>44341</v>
      </c>
      <c r="B23" s="24" t="s">
        <v>5</v>
      </c>
      <c r="C23" s="24" t="s">
        <v>3</v>
      </c>
      <c r="D23" s="24" t="s">
        <v>52</v>
      </c>
      <c r="E23" s="24" t="s">
        <v>66</v>
      </c>
      <c r="F23" s="7">
        <v>27.8</v>
      </c>
      <c r="G23" s="24" t="s">
        <v>130</v>
      </c>
    </row>
    <row r="24" spans="1:8" x14ac:dyDescent="0.25">
      <c r="A24" s="23">
        <v>44341</v>
      </c>
      <c r="B24" s="24" t="s">
        <v>5</v>
      </c>
      <c r="C24" s="24" t="s">
        <v>8</v>
      </c>
      <c r="D24" s="24" t="s">
        <v>25</v>
      </c>
      <c r="E24" s="24" t="s">
        <v>136</v>
      </c>
      <c r="F24" s="7">
        <v>6.6</v>
      </c>
      <c r="G24" s="24" t="s">
        <v>130</v>
      </c>
      <c r="H24" s="24" t="s">
        <v>130</v>
      </c>
    </row>
    <row r="28" spans="1:8" x14ac:dyDescent="0.25">
      <c r="F28" s="25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15EF-BF0C-4F91-8D84-5AC50B23FD67}">
  <sheetPr codeName="Planilha4"/>
  <dimension ref="A1:L59"/>
  <sheetViews>
    <sheetView topLeftCell="C31" workbookViewId="0">
      <selection activeCell="C55" sqref="C55:C56"/>
    </sheetView>
  </sheetViews>
  <sheetFormatPr defaultRowHeight="15" x14ac:dyDescent="0.25"/>
  <cols>
    <col min="1" max="1" width="15.28515625" bestFit="1" customWidth="1"/>
    <col min="2" max="2" width="15.28515625" customWidth="1"/>
    <col min="10" max="11" width="19.85546875" bestFit="1" customWidth="1"/>
    <col min="12" max="12" width="13.140625" bestFit="1" customWidth="1"/>
  </cols>
  <sheetData>
    <row r="1" spans="1:12" x14ac:dyDescent="0.25">
      <c r="A1" t="s">
        <v>2</v>
      </c>
      <c r="C1" t="s">
        <v>126</v>
      </c>
      <c r="I1" t="s">
        <v>114</v>
      </c>
      <c r="J1" t="s">
        <v>113</v>
      </c>
      <c r="K1" t="s">
        <v>109</v>
      </c>
      <c r="L1" t="s">
        <v>1</v>
      </c>
    </row>
    <row r="2" spans="1:12" x14ac:dyDescent="0.25">
      <c r="A2" s="16" t="s">
        <v>9</v>
      </c>
      <c r="B2" s="1"/>
      <c r="C2" s="9" t="s">
        <v>10</v>
      </c>
      <c r="I2" t="s">
        <v>18</v>
      </c>
      <c r="J2" s="4" t="s">
        <v>71</v>
      </c>
      <c r="K2" s="3" t="s">
        <v>94</v>
      </c>
      <c r="L2" t="s">
        <v>78</v>
      </c>
    </row>
    <row r="3" spans="1:12" x14ac:dyDescent="0.25">
      <c r="A3" s="13" t="s">
        <v>3</v>
      </c>
      <c r="B3" s="1"/>
      <c r="C3" s="10" t="s">
        <v>11</v>
      </c>
      <c r="I3" t="s">
        <v>65</v>
      </c>
      <c r="J3" s="4" t="s">
        <v>72</v>
      </c>
      <c r="K3" s="4" t="s">
        <v>92</v>
      </c>
      <c r="L3" t="s">
        <v>110</v>
      </c>
    </row>
    <row r="4" spans="1:12" x14ac:dyDescent="0.25">
      <c r="A4" s="19" t="s">
        <v>4</v>
      </c>
      <c r="B4" s="1"/>
      <c r="C4" s="9" t="s">
        <v>13</v>
      </c>
      <c r="D4" s="3"/>
      <c r="E4" s="3"/>
      <c r="F4" s="3"/>
      <c r="G4" s="3"/>
      <c r="H4" s="3"/>
      <c r="I4" t="s">
        <v>66</v>
      </c>
      <c r="J4" s="3" t="s">
        <v>73</v>
      </c>
      <c r="K4" s="4" t="s">
        <v>93</v>
      </c>
      <c r="L4" t="s">
        <v>5</v>
      </c>
    </row>
    <row r="5" spans="1:12" x14ac:dyDescent="0.25">
      <c r="A5" s="22" t="s">
        <v>112</v>
      </c>
      <c r="B5" s="1"/>
      <c r="C5" s="10" t="s">
        <v>16</v>
      </c>
      <c r="I5" t="s">
        <v>67</v>
      </c>
      <c r="J5" s="4" t="s">
        <v>74</v>
      </c>
      <c r="K5" s="6" t="s">
        <v>95</v>
      </c>
      <c r="L5" s="3" t="s">
        <v>86</v>
      </c>
    </row>
    <row r="6" spans="1:12" x14ac:dyDescent="0.25">
      <c r="A6" t="s">
        <v>7</v>
      </c>
      <c r="B6" s="2"/>
      <c r="C6" s="9" t="s">
        <v>17</v>
      </c>
      <c r="I6" t="s">
        <v>38</v>
      </c>
      <c r="J6" s="4" t="s">
        <v>75</v>
      </c>
      <c r="K6" s="4" t="s">
        <v>107</v>
      </c>
      <c r="L6" t="s">
        <v>88</v>
      </c>
    </row>
    <row r="7" spans="1:12" x14ac:dyDescent="0.25">
      <c r="A7" s="8" t="s">
        <v>8</v>
      </c>
      <c r="C7" s="9" t="s">
        <v>20</v>
      </c>
      <c r="D7" s="3"/>
      <c r="E7" s="3"/>
      <c r="F7" s="3"/>
      <c r="G7" s="3"/>
      <c r="H7" s="3"/>
      <c r="I7" s="3" t="s">
        <v>6</v>
      </c>
      <c r="J7" s="4" t="s">
        <v>76</v>
      </c>
      <c r="K7" s="6" t="s">
        <v>106</v>
      </c>
      <c r="L7" t="s">
        <v>78</v>
      </c>
    </row>
    <row r="8" spans="1:12" x14ac:dyDescent="0.25">
      <c r="B8" s="1"/>
      <c r="C8" s="10" t="s">
        <v>22</v>
      </c>
      <c r="I8" s="3" t="s">
        <v>70</v>
      </c>
      <c r="J8" s="4" t="s">
        <v>77</v>
      </c>
      <c r="K8" t="s">
        <v>96</v>
      </c>
      <c r="L8" t="s">
        <v>110</v>
      </c>
    </row>
    <row r="9" spans="1:12" x14ac:dyDescent="0.25">
      <c r="C9" s="9" t="s">
        <v>23</v>
      </c>
      <c r="D9" s="3"/>
      <c r="E9" s="3"/>
      <c r="F9" s="3"/>
      <c r="G9" s="3"/>
      <c r="H9" s="3"/>
      <c r="I9" s="3" t="s">
        <v>68</v>
      </c>
      <c r="J9" s="4" t="s">
        <v>78</v>
      </c>
      <c r="K9" s="3" t="s">
        <v>97</v>
      </c>
    </row>
    <row r="10" spans="1:12" x14ac:dyDescent="0.25">
      <c r="C10" s="9" t="s">
        <v>24</v>
      </c>
      <c r="D10" s="3"/>
      <c r="E10" s="3"/>
      <c r="F10" s="3"/>
      <c r="G10" s="3"/>
      <c r="H10" s="3"/>
      <c r="I10" s="3" t="s">
        <v>69</v>
      </c>
      <c r="J10" s="4" t="s">
        <v>79</v>
      </c>
      <c r="K10" s="6" t="s">
        <v>90</v>
      </c>
    </row>
    <row r="11" spans="1:12" x14ac:dyDescent="0.25">
      <c r="C11" s="9" t="s">
        <v>25</v>
      </c>
      <c r="D11" s="3"/>
      <c r="E11" s="3"/>
      <c r="F11" s="3"/>
      <c r="G11" s="3"/>
      <c r="H11" s="3"/>
      <c r="I11" s="3" t="s">
        <v>97</v>
      </c>
      <c r="J11" s="4" t="s">
        <v>80</v>
      </c>
      <c r="K11" s="6" t="s">
        <v>98</v>
      </c>
    </row>
    <row r="12" spans="1:12" x14ac:dyDescent="0.25">
      <c r="C12" s="9" t="s">
        <v>27</v>
      </c>
      <c r="J12" s="4" t="s">
        <v>81</v>
      </c>
      <c r="K12" s="6" t="s">
        <v>105</v>
      </c>
    </row>
    <row r="13" spans="1:12" x14ac:dyDescent="0.25">
      <c r="C13" s="9" t="s">
        <v>34</v>
      </c>
      <c r="J13" s="4" t="s">
        <v>82</v>
      </c>
      <c r="K13" t="s">
        <v>99</v>
      </c>
    </row>
    <row r="14" spans="1:12" x14ac:dyDescent="0.25">
      <c r="C14" s="9" t="s">
        <v>38</v>
      </c>
      <c r="D14" s="3"/>
      <c r="E14" s="3"/>
      <c r="F14" s="3"/>
      <c r="G14" s="3"/>
      <c r="H14" s="3"/>
      <c r="J14" s="4" t="s">
        <v>40</v>
      </c>
      <c r="K14" s="6" t="s">
        <v>67</v>
      </c>
    </row>
    <row r="15" spans="1:12" x14ac:dyDescent="0.25">
      <c r="C15" s="9" t="s">
        <v>39</v>
      </c>
      <c r="J15" s="4" t="s">
        <v>83</v>
      </c>
      <c r="K15" s="3" t="s">
        <v>38</v>
      </c>
    </row>
    <row r="16" spans="1:12" x14ac:dyDescent="0.25">
      <c r="C16" s="11" t="s">
        <v>40</v>
      </c>
      <c r="J16" s="4" t="s">
        <v>41</v>
      </c>
      <c r="K16" s="6" t="s">
        <v>45</v>
      </c>
    </row>
    <row r="17" spans="3:11" x14ac:dyDescent="0.25">
      <c r="C17" s="9" t="s">
        <v>42</v>
      </c>
      <c r="D17" s="3"/>
      <c r="E17" s="3"/>
      <c r="F17" s="3"/>
      <c r="G17" s="3"/>
      <c r="H17" s="3"/>
      <c r="J17" s="4" t="s">
        <v>5</v>
      </c>
      <c r="K17" s="3" t="s">
        <v>100</v>
      </c>
    </row>
    <row r="18" spans="3:11" x14ac:dyDescent="0.25">
      <c r="C18" s="9" t="s">
        <v>45</v>
      </c>
      <c r="J18" s="4" t="s">
        <v>84</v>
      </c>
      <c r="K18" s="6" t="s">
        <v>101</v>
      </c>
    </row>
    <row r="19" spans="3:11" x14ac:dyDescent="0.25">
      <c r="C19" s="9" t="s">
        <v>46</v>
      </c>
      <c r="D19" s="3"/>
      <c r="E19" s="3"/>
      <c r="F19" s="3"/>
      <c r="G19" s="3"/>
      <c r="H19" s="3"/>
      <c r="J19" s="4" t="s">
        <v>85</v>
      </c>
      <c r="K19" s="6" t="s">
        <v>102</v>
      </c>
    </row>
    <row r="20" spans="3:11" x14ac:dyDescent="0.25">
      <c r="C20" s="12" t="s">
        <v>48</v>
      </c>
      <c r="J20" s="3" t="s">
        <v>86</v>
      </c>
      <c r="K20" s="6" t="s">
        <v>103</v>
      </c>
    </row>
    <row r="21" spans="3:11" x14ac:dyDescent="0.25">
      <c r="C21" s="9" t="s">
        <v>50</v>
      </c>
      <c r="J21" s="4" t="s">
        <v>87</v>
      </c>
      <c r="K21" s="6" t="s">
        <v>104</v>
      </c>
    </row>
    <row r="22" spans="3:11" x14ac:dyDescent="0.25">
      <c r="C22" s="9" t="s">
        <v>51</v>
      </c>
      <c r="J22" s="4" t="s">
        <v>88</v>
      </c>
      <c r="K22" s="6" t="s">
        <v>108</v>
      </c>
    </row>
    <row r="23" spans="3:11" x14ac:dyDescent="0.25">
      <c r="C23" s="9" t="s">
        <v>56</v>
      </c>
      <c r="J23" s="4" t="s">
        <v>89</v>
      </c>
    </row>
    <row r="24" spans="3:11" x14ac:dyDescent="0.25">
      <c r="C24" s="10" t="s">
        <v>58</v>
      </c>
      <c r="J24" s="6" t="s">
        <v>90</v>
      </c>
    </row>
    <row r="25" spans="3:11" x14ac:dyDescent="0.25">
      <c r="C25" s="9" t="s">
        <v>59</v>
      </c>
      <c r="J25" s="4" t="s">
        <v>45</v>
      </c>
    </row>
    <row r="26" spans="3:11" x14ac:dyDescent="0.25">
      <c r="C26" s="9" t="s">
        <v>60</v>
      </c>
      <c r="J26" s="4" t="s">
        <v>91</v>
      </c>
    </row>
    <row r="27" spans="3:11" x14ac:dyDescent="0.25">
      <c r="C27" s="14" t="s">
        <v>62</v>
      </c>
      <c r="D27" s="3"/>
      <c r="E27" s="3"/>
      <c r="F27" s="3"/>
      <c r="G27" s="3"/>
      <c r="H27" s="3"/>
      <c r="J27" s="4" t="s">
        <v>25</v>
      </c>
    </row>
    <row r="28" spans="3:11" x14ac:dyDescent="0.25">
      <c r="C28" s="15" t="s">
        <v>15</v>
      </c>
      <c r="J28" s="4" t="s">
        <v>117</v>
      </c>
    </row>
    <row r="29" spans="3:11" x14ac:dyDescent="0.25">
      <c r="C29" s="15" t="s">
        <v>19</v>
      </c>
      <c r="D29" s="3"/>
      <c r="E29" s="3"/>
      <c r="F29" s="3"/>
      <c r="G29" s="3"/>
      <c r="H29" s="3"/>
      <c r="J29" s="4" t="s">
        <v>116</v>
      </c>
    </row>
    <row r="30" spans="3:11" x14ac:dyDescent="0.25">
      <c r="C30" s="15" t="s">
        <v>21</v>
      </c>
      <c r="J30" s="4" t="s">
        <v>39</v>
      </c>
    </row>
    <row r="31" spans="3:11" x14ac:dyDescent="0.25">
      <c r="C31" s="14" t="s">
        <v>28</v>
      </c>
      <c r="J31" s="4" t="s">
        <v>25</v>
      </c>
    </row>
    <row r="32" spans="3:11" x14ac:dyDescent="0.25">
      <c r="C32" s="15" t="s">
        <v>29</v>
      </c>
    </row>
    <row r="33" spans="3:8" x14ac:dyDescent="0.25">
      <c r="C33" s="14" t="s">
        <v>30</v>
      </c>
    </row>
    <row r="34" spans="3:8" x14ac:dyDescent="0.25">
      <c r="C34" s="15" t="s">
        <v>31</v>
      </c>
    </row>
    <row r="35" spans="3:8" x14ac:dyDescent="0.25">
      <c r="C35" s="14" t="s">
        <v>32</v>
      </c>
    </row>
    <row r="36" spans="3:8" x14ac:dyDescent="0.25">
      <c r="C36" s="14" t="s">
        <v>33</v>
      </c>
    </row>
    <row r="37" spans="3:8" x14ac:dyDescent="0.25">
      <c r="C37" s="14" t="s">
        <v>35</v>
      </c>
    </row>
    <row r="38" spans="3:8" x14ac:dyDescent="0.25">
      <c r="C38" s="14" t="s">
        <v>36</v>
      </c>
    </row>
    <row r="39" spans="3:8" x14ac:dyDescent="0.25">
      <c r="C39" s="14" t="s">
        <v>37</v>
      </c>
      <c r="D39" s="4"/>
      <c r="E39" s="4"/>
      <c r="F39" s="4"/>
      <c r="G39" s="4"/>
      <c r="H39" s="4"/>
    </row>
    <row r="40" spans="3:8" x14ac:dyDescent="0.25">
      <c r="C40" s="14" t="s">
        <v>63</v>
      </c>
      <c r="D40" s="4"/>
      <c r="E40" s="4"/>
      <c r="F40" s="4"/>
      <c r="G40" s="4"/>
      <c r="H40" s="4"/>
    </row>
    <row r="41" spans="3:8" x14ac:dyDescent="0.25">
      <c r="C41" s="14" t="s">
        <v>47</v>
      </c>
    </row>
    <row r="42" spans="3:8" x14ac:dyDescent="0.25">
      <c r="C42" s="14" t="s">
        <v>49</v>
      </c>
    </row>
    <row r="43" spans="3:8" x14ac:dyDescent="0.25">
      <c r="C43" s="15" t="s">
        <v>52</v>
      </c>
      <c r="D43" s="3"/>
      <c r="E43" s="3"/>
      <c r="F43" s="3"/>
      <c r="G43" s="3"/>
      <c r="H43" s="3"/>
    </row>
    <row r="44" spans="3:8" x14ac:dyDescent="0.25">
      <c r="C44" s="14" t="s">
        <v>53</v>
      </c>
    </row>
    <row r="45" spans="3:8" x14ac:dyDescent="0.25">
      <c r="C45" s="14" t="s">
        <v>64</v>
      </c>
    </row>
    <row r="46" spans="3:8" x14ac:dyDescent="0.25">
      <c r="C46" s="15" t="s">
        <v>54</v>
      </c>
    </row>
    <row r="47" spans="3:8" x14ac:dyDescent="0.25">
      <c r="C47" s="14" t="s">
        <v>57</v>
      </c>
      <c r="D47" s="5"/>
      <c r="E47" s="5"/>
      <c r="F47" s="5"/>
      <c r="G47" s="5"/>
      <c r="H47" s="5"/>
    </row>
    <row r="48" spans="3:8" x14ac:dyDescent="0.25">
      <c r="C48" s="14" t="s">
        <v>115</v>
      </c>
    </row>
    <row r="49" spans="3:8" x14ac:dyDescent="0.25">
      <c r="C49" s="17" t="s">
        <v>14</v>
      </c>
    </row>
    <row r="50" spans="3:8" x14ac:dyDescent="0.25">
      <c r="C50" s="17" t="s">
        <v>44</v>
      </c>
    </row>
    <row r="51" spans="3:8" x14ac:dyDescent="0.25">
      <c r="C51" s="18" t="s">
        <v>61</v>
      </c>
    </row>
    <row r="52" spans="3:8" x14ac:dyDescent="0.25">
      <c r="C52" s="20" t="s">
        <v>41</v>
      </c>
      <c r="D52" s="3"/>
      <c r="E52" s="3"/>
      <c r="F52" s="3"/>
      <c r="G52" s="3"/>
      <c r="H52" s="3"/>
    </row>
    <row r="53" spans="3:8" x14ac:dyDescent="0.25">
      <c r="C53" s="21" t="s">
        <v>43</v>
      </c>
    </row>
    <row r="54" spans="3:8" x14ac:dyDescent="0.25">
      <c r="C54" s="21" t="s">
        <v>55</v>
      </c>
    </row>
    <row r="55" spans="3:8" x14ac:dyDescent="0.25">
      <c r="C55" s="22" t="s">
        <v>12</v>
      </c>
    </row>
    <row r="56" spans="3:8" x14ac:dyDescent="0.25">
      <c r="C56" s="22" t="s">
        <v>26</v>
      </c>
      <c r="D56" s="3"/>
      <c r="E56" s="3"/>
      <c r="F56" s="3"/>
      <c r="G56" s="3"/>
      <c r="H56" s="3"/>
    </row>
    <row r="59" spans="3:8" x14ac:dyDescent="0.25">
      <c r="D59" s="3"/>
      <c r="E59" s="3"/>
      <c r="F59" s="3"/>
      <c r="G59" s="3"/>
      <c r="H59" s="3"/>
    </row>
  </sheetData>
  <phoneticPr fontId="4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Extrato</vt:lpstr>
      <vt:lpstr>Cartões de Crédito</vt:lpstr>
      <vt:lpstr>Intervalos</vt:lpstr>
      <vt:lpstr>DESPESAS</vt:lpstr>
      <vt:lpstr>DESTINOS</vt:lpstr>
      <vt:lpstr>MOTIVOS</vt:lpstr>
      <vt:lpstr>QUEM</vt:lpstr>
      <vt:lpstr>RECEITAS</vt:lpstr>
      <vt:lpstr>Serviço_Compra</vt:lpstr>
      <vt:lpstr>TTRANSAÇÃO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</dc:creator>
  <cp:lastModifiedBy>Rodrigo Peixoto</cp:lastModifiedBy>
  <dcterms:created xsi:type="dcterms:W3CDTF">2021-03-15T12:24:11Z</dcterms:created>
  <dcterms:modified xsi:type="dcterms:W3CDTF">2021-11-04T20:25:22Z</dcterms:modified>
</cp:coreProperties>
</file>